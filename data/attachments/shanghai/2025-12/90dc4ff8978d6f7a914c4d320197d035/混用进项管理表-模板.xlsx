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&#65279;<?xml version="1.0" encoding="utf-8"?><Relationships xmlns="http://schemas.openxmlformats.org/package/2006/relationships"><Relationship Type="http://schemas.openxmlformats.org/officeDocument/2006/relationships/extended-properties" Target="docProps/app.xml" Id="rId3" /><Relationship Type="http://schemas.openxmlformats.org/package/2006/relationships/metadata/core-properties" Target="docProps/core.xml" Id="rId2" /><Relationship Type="http://schemas.openxmlformats.org/officeDocument/2006/relationships/officeDocument" Target="xl/workbook.xml" Id="rId1" /><Relationship Type="http://schemas.openxmlformats.org/officeDocument/2006/relationships/custom-properties" Target="/docProps/custom.xml" Id="Raf94e2b188244dc1"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er23\Desktop\"/>
    </mc:Choice>
  </mc:AlternateContent>
  <xr:revisionPtr revIDLastSave="0" documentId="13_ncr:1_{31C19BE9-8A7F-4939-98E2-5FEEC7C20169}" xr6:coauthVersionLast="47" xr6:coauthVersionMax="47" xr10:uidLastSave="{00000000-0000-0000-0000-000000000000}"/>
  <bookViews>
    <workbookView xWindow="-98" yWindow="-98" windowWidth="21795" windowHeight="13096" xr2:uid="{AF36B9B5-7E59-4095-AD75-A25EE4D3A792}"/>
  </bookViews>
  <sheets>
    <sheet name="程序及说明" sheetId="4" r:id="rId1"/>
    <sheet name="进项转出汇总表" sheetId="1" r:id="rId2"/>
    <sheet name="项目1" sheetId="2" r:id="rId3"/>
    <sheet name="项目2" sheetId="3" r:id="rId4"/>
  </sheet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 l="1"/>
  <c r="Q19" i="1" l="1"/>
  <c r="Q18" i="1"/>
  <c r="Q17" i="1"/>
  <c r="D19" i="1"/>
  <c r="D16" i="1"/>
  <c r="E5" i="1"/>
  <c r="F5" i="1"/>
  <c r="G5" i="1"/>
  <c r="H5" i="1"/>
  <c r="I5" i="1"/>
  <c r="J5" i="1"/>
  <c r="K5" i="1"/>
  <c r="L5" i="1"/>
  <c r="M5" i="1"/>
  <c r="N5" i="1"/>
  <c r="O5" i="1"/>
  <c r="E6" i="1"/>
  <c r="F6" i="1"/>
  <c r="G6" i="1"/>
  <c r="H6" i="1"/>
  <c r="I6" i="1"/>
  <c r="J6" i="1"/>
  <c r="K6" i="1"/>
  <c r="L6" i="1"/>
  <c r="M6" i="1"/>
  <c r="N6" i="1"/>
  <c r="O6" i="1"/>
  <c r="D6" i="1"/>
  <c r="D5" i="1"/>
  <c r="Q36" i="3"/>
  <c r="Q31" i="3"/>
  <c r="Q30" i="3"/>
  <c r="Q29" i="3"/>
  <c r="P28" i="3"/>
  <c r="O28" i="3"/>
  <c r="N28" i="3"/>
  <c r="M28" i="3"/>
  <c r="L28" i="3"/>
  <c r="K28" i="3"/>
  <c r="J28" i="3"/>
  <c r="J32" i="3" s="1"/>
  <c r="I28" i="3"/>
  <c r="H28" i="3"/>
  <c r="G28" i="3"/>
  <c r="F28" i="3"/>
  <c r="E28" i="3"/>
  <c r="D28" i="3"/>
  <c r="P26" i="3"/>
  <c r="Q26" i="3" s="1"/>
  <c r="P25" i="3"/>
  <c r="Q25" i="3" s="1"/>
  <c r="P24" i="3"/>
  <c r="Q24" i="3" s="1"/>
  <c r="P23" i="3"/>
  <c r="Q23" i="3" s="1"/>
  <c r="P22" i="3"/>
  <c r="P21" i="3" s="1"/>
  <c r="O21" i="3"/>
  <c r="O27" i="3" s="1"/>
  <c r="O32" i="3" s="1"/>
  <c r="N21" i="3"/>
  <c r="N27" i="3" s="1"/>
  <c r="N32" i="3" s="1"/>
  <c r="M21" i="3"/>
  <c r="M27" i="3" s="1"/>
  <c r="M32" i="3" s="1"/>
  <c r="L21" i="3"/>
  <c r="L27" i="3" s="1"/>
  <c r="L32" i="3" s="1"/>
  <c r="K21" i="3"/>
  <c r="K27" i="3" s="1"/>
  <c r="K32" i="3" s="1"/>
  <c r="J21" i="3"/>
  <c r="J27" i="3" s="1"/>
  <c r="I21" i="3"/>
  <c r="I19" i="3" s="1"/>
  <c r="H21" i="3"/>
  <c r="H19" i="3" s="1"/>
  <c r="G21" i="3"/>
  <c r="G19" i="3" s="1"/>
  <c r="F21" i="3"/>
  <c r="F19" i="3" s="1"/>
  <c r="E21" i="3"/>
  <c r="E27" i="3" s="1"/>
  <c r="D21" i="3"/>
  <c r="D27" i="3" s="1"/>
  <c r="D32" i="3" s="1"/>
  <c r="P20" i="3"/>
  <c r="Q20" i="3" s="1"/>
  <c r="O19" i="3"/>
  <c r="N19" i="3"/>
  <c r="M19" i="3"/>
  <c r="L19" i="3"/>
  <c r="K19" i="3"/>
  <c r="J19" i="3"/>
  <c r="E19" i="3"/>
  <c r="D19" i="3"/>
  <c r="Q18" i="3"/>
  <c r="M16" i="3"/>
  <c r="M34" i="3" s="1"/>
  <c r="M37" i="3" s="1"/>
  <c r="Q15" i="3"/>
  <c r="Q14" i="3"/>
  <c r="Q13" i="3"/>
  <c r="P12" i="3"/>
  <c r="Q12" i="3" s="1"/>
  <c r="O12" i="3"/>
  <c r="N12" i="3"/>
  <c r="M12" i="3"/>
  <c r="L12" i="3"/>
  <c r="L16" i="3" s="1"/>
  <c r="L34" i="3" s="1"/>
  <c r="L37" i="3" s="1"/>
  <c r="K12" i="3"/>
  <c r="K16" i="3" s="1"/>
  <c r="K34" i="3" s="1"/>
  <c r="K37" i="3" s="1"/>
  <c r="J12" i="3"/>
  <c r="J16" i="3" s="1"/>
  <c r="I12" i="3"/>
  <c r="I16" i="3" s="1"/>
  <c r="H12" i="3"/>
  <c r="H16" i="3" s="1"/>
  <c r="G12" i="3"/>
  <c r="G16" i="3" s="1"/>
  <c r="F12" i="3"/>
  <c r="F16" i="3" s="1"/>
  <c r="E12" i="3"/>
  <c r="D12" i="3"/>
  <c r="M11" i="3"/>
  <c r="L11" i="3"/>
  <c r="K11" i="3"/>
  <c r="J11" i="3"/>
  <c r="H11" i="3"/>
  <c r="P10" i="3"/>
  <c r="Q10" i="3" s="1"/>
  <c r="P9" i="3"/>
  <c r="Q9" i="3" s="1"/>
  <c r="P8" i="3"/>
  <c r="O8" i="3"/>
  <c r="O6" i="3" s="1"/>
  <c r="N8" i="3"/>
  <c r="N6" i="3" s="1"/>
  <c r="M8" i="3"/>
  <c r="L8" i="3"/>
  <c r="K8" i="3"/>
  <c r="J8" i="3"/>
  <c r="I8" i="3"/>
  <c r="H8" i="3"/>
  <c r="G8" i="3"/>
  <c r="G11" i="3" s="1"/>
  <c r="F8" i="3"/>
  <c r="F11" i="3" s="1"/>
  <c r="E8" i="3"/>
  <c r="E6" i="3" s="1"/>
  <c r="D8" i="3"/>
  <c r="D6" i="3" s="1"/>
  <c r="P7" i="3"/>
  <c r="Q7" i="3" s="1"/>
  <c r="M6" i="3"/>
  <c r="L6" i="3"/>
  <c r="K6" i="3"/>
  <c r="J6" i="3"/>
  <c r="I6" i="3"/>
  <c r="I11" i="3" s="1"/>
  <c r="H6" i="3"/>
  <c r="G6" i="3"/>
  <c r="F6" i="3"/>
  <c r="Q36" i="2"/>
  <c r="Q31" i="2"/>
  <c r="Q30" i="2"/>
  <c r="Q29" i="2"/>
  <c r="P28" i="2"/>
  <c r="O28" i="2"/>
  <c r="N28" i="2"/>
  <c r="M28" i="2"/>
  <c r="L28" i="2"/>
  <c r="K28" i="2"/>
  <c r="J28" i="2"/>
  <c r="J32" i="2" s="1"/>
  <c r="I28" i="2"/>
  <c r="H28" i="2"/>
  <c r="G28" i="2"/>
  <c r="F28" i="2"/>
  <c r="E28" i="2"/>
  <c r="D28" i="2"/>
  <c r="P26" i="2"/>
  <c r="Q26" i="2" s="1"/>
  <c r="P25" i="2"/>
  <c r="Q25" i="2" s="1"/>
  <c r="P24" i="2"/>
  <c r="Q24" i="2" s="1"/>
  <c r="P23" i="2"/>
  <c r="Q23" i="2" s="1"/>
  <c r="P22" i="2"/>
  <c r="P21" i="2" s="1"/>
  <c r="O21" i="2"/>
  <c r="O27" i="2" s="1"/>
  <c r="O32" i="2" s="1"/>
  <c r="N21" i="2"/>
  <c r="N27" i="2" s="1"/>
  <c r="N32" i="2" s="1"/>
  <c r="M21" i="2"/>
  <c r="M27" i="2" s="1"/>
  <c r="M32" i="2" s="1"/>
  <c r="L21" i="2"/>
  <c r="L27" i="2" s="1"/>
  <c r="L32" i="2" s="1"/>
  <c r="K21" i="2"/>
  <c r="K27" i="2" s="1"/>
  <c r="K32" i="2" s="1"/>
  <c r="J21" i="2"/>
  <c r="J27" i="2" s="1"/>
  <c r="I21" i="2"/>
  <c r="I19" i="2" s="1"/>
  <c r="H21" i="2"/>
  <c r="H19" i="2" s="1"/>
  <c r="G21" i="2"/>
  <c r="G19" i="2" s="1"/>
  <c r="F21" i="2"/>
  <c r="F19" i="2" s="1"/>
  <c r="E21" i="2"/>
  <c r="E27" i="2" s="1"/>
  <c r="D21" i="2"/>
  <c r="D27" i="2" s="1"/>
  <c r="D32" i="2" s="1"/>
  <c r="P20" i="2"/>
  <c r="Q20" i="2" s="1"/>
  <c r="O19" i="2"/>
  <c r="N19" i="2"/>
  <c r="M19" i="2"/>
  <c r="L19" i="2"/>
  <c r="K19" i="2"/>
  <c r="J19" i="2"/>
  <c r="E19" i="2"/>
  <c r="D19" i="2"/>
  <c r="Q18" i="2"/>
  <c r="Q15" i="2"/>
  <c r="Q14" i="2"/>
  <c r="Q13" i="2"/>
  <c r="P12" i="2"/>
  <c r="Q12" i="2" s="1"/>
  <c r="O12" i="2"/>
  <c r="N12" i="2"/>
  <c r="M12" i="2"/>
  <c r="L12" i="2"/>
  <c r="K12" i="2"/>
  <c r="K16" i="2" s="1"/>
  <c r="K34" i="2" s="1"/>
  <c r="K37" i="2" s="1"/>
  <c r="J12" i="2"/>
  <c r="J16" i="2" s="1"/>
  <c r="I12" i="2"/>
  <c r="I16" i="2" s="1"/>
  <c r="H12" i="2"/>
  <c r="H16" i="2" s="1"/>
  <c r="G12" i="2"/>
  <c r="G16" i="2" s="1"/>
  <c r="F12" i="2"/>
  <c r="F16" i="2" s="1"/>
  <c r="E12" i="2"/>
  <c r="D12" i="2"/>
  <c r="K11" i="2"/>
  <c r="J11" i="2"/>
  <c r="I11" i="2"/>
  <c r="H11" i="2"/>
  <c r="P10" i="2"/>
  <c r="Q10" i="2" s="1"/>
  <c r="P9" i="2"/>
  <c r="Q9" i="2" s="1"/>
  <c r="P8" i="2"/>
  <c r="Q8" i="2" s="1"/>
  <c r="O8" i="2"/>
  <c r="O6" i="2" s="1"/>
  <c r="N8" i="2"/>
  <c r="N6" i="2" s="1"/>
  <c r="M8" i="2"/>
  <c r="M11" i="2" s="1"/>
  <c r="M16" i="2" s="1"/>
  <c r="M34" i="2" s="1"/>
  <c r="M37" i="2" s="1"/>
  <c r="L8" i="2"/>
  <c r="L11" i="2" s="1"/>
  <c r="K8" i="2"/>
  <c r="J8" i="2"/>
  <c r="I8" i="2"/>
  <c r="H8" i="2"/>
  <c r="G8" i="2"/>
  <c r="G11" i="2" s="1"/>
  <c r="F8" i="2"/>
  <c r="F11" i="2" s="1"/>
  <c r="E8" i="2"/>
  <c r="E6" i="2" s="1"/>
  <c r="D8" i="2"/>
  <c r="D6" i="2" s="1"/>
  <c r="P6" i="2" s="1"/>
  <c r="Q6" i="2" s="1"/>
  <c r="P7" i="2"/>
  <c r="Q7" i="2" s="1"/>
  <c r="M6" i="2"/>
  <c r="L6" i="2"/>
  <c r="K6" i="2"/>
  <c r="J6" i="2"/>
  <c r="I6" i="2"/>
  <c r="H6" i="2"/>
  <c r="G6" i="2"/>
  <c r="F6" i="2"/>
  <c r="Q21" i="3" l="1"/>
  <c r="P6" i="3"/>
  <c r="Q6" i="3" s="1"/>
  <c r="E32" i="3"/>
  <c r="F32" i="3"/>
  <c r="F34" i="3" s="1"/>
  <c r="F37" i="3" s="1"/>
  <c r="J34" i="3"/>
  <c r="J37" i="3" s="1"/>
  <c r="F27" i="3"/>
  <c r="Q22" i="3"/>
  <c r="G27" i="3"/>
  <c r="G32" i="3" s="1"/>
  <c r="G34" i="3" s="1"/>
  <c r="G37" i="3" s="1"/>
  <c r="Q28" i="3"/>
  <c r="Q8" i="3"/>
  <c r="I27" i="3"/>
  <c r="I32" i="3" s="1"/>
  <c r="I34" i="3" s="1"/>
  <c r="I37" i="3" s="1"/>
  <c r="N11" i="3"/>
  <c r="N16" i="3" s="1"/>
  <c r="N34" i="3" s="1"/>
  <c r="N37" i="3" s="1"/>
  <c r="P19" i="3"/>
  <c r="Q19" i="3" s="1"/>
  <c r="O11" i="3"/>
  <c r="O16" i="3" s="1"/>
  <c r="O34" i="3" s="1"/>
  <c r="O37" i="3" s="1"/>
  <c r="D11" i="3"/>
  <c r="D16" i="3" s="1"/>
  <c r="D34" i="3" s="1"/>
  <c r="D37" i="3" s="1"/>
  <c r="E11" i="3"/>
  <c r="E16" i="3" s="1"/>
  <c r="H27" i="3"/>
  <c r="H32" i="3" s="1"/>
  <c r="H34" i="3" s="1"/>
  <c r="H37" i="3" s="1"/>
  <c r="Q21" i="2"/>
  <c r="J34" i="2"/>
  <c r="J37" i="2" s="1"/>
  <c r="E32" i="2"/>
  <c r="F32" i="2"/>
  <c r="F34" i="2" s="1"/>
  <c r="F37" i="2" s="1"/>
  <c r="I32" i="2"/>
  <c r="I34" i="2" s="1"/>
  <c r="I37" i="2" s="1"/>
  <c r="G32" i="2"/>
  <c r="G34" i="2" s="1"/>
  <c r="G37" i="2" s="1"/>
  <c r="L16" i="2"/>
  <c r="L34" i="2" s="1"/>
  <c r="L37" i="2" s="1"/>
  <c r="F27" i="2"/>
  <c r="Q22" i="2"/>
  <c r="G27" i="2"/>
  <c r="Q28" i="2"/>
  <c r="N11" i="2"/>
  <c r="N16" i="2" s="1"/>
  <c r="N34" i="2" s="1"/>
  <c r="N37" i="2" s="1"/>
  <c r="P19" i="2"/>
  <c r="Q19" i="2" s="1"/>
  <c r="O11" i="2"/>
  <c r="O16" i="2" s="1"/>
  <c r="O34" i="2" s="1"/>
  <c r="O37" i="2" s="1"/>
  <c r="H27" i="2"/>
  <c r="H32" i="2" s="1"/>
  <c r="H34" i="2" s="1"/>
  <c r="H37" i="2" s="1"/>
  <c r="D11" i="2"/>
  <c r="D16" i="2" s="1"/>
  <c r="D34" i="2" s="1"/>
  <c r="D37" i="2" s="1"/>
  <c r="P11" i="2"/>
  <c r="E11" i="2"/>
  <c r="E16" i="2" s="1"/>
  <c r="E34" i="2" s="1"/>
  <c r="E37" i="2" s="1"/>
  <c r="I27" i="2"/>
  <c r="P27" i="3" l="1"/>
  <c r="P32" i="3" s="1"/>
  <c r="Q27" i="3"/>
  <c r="Q32" i="3" s="1"/>
  <c r="E34" i="3"/>
  <c r="E37" i="3" s="1"/>
  <c r="P11" i="3"/>
  <c r="P27" i="2"/>
  <c r="P32" i="2" s="1"/>
  <c r="Q27" i="2"/>
  <c r="Q32" i="2" s="1"/>
  <c r="Q11" i="2"/>
  <c r="Q16" i="2" s="1"/>
  <c r="P16" i="2"/>
  <c r="P34" i="2" s="1"/>
  <c r="P37" i="2" s="1"/>
  <c r="Q11" i="3" l="1"/>
  <c r="Q16" i="3" s="1"/>
  <c r="Q35" i="3" s="1"/>
  <c r="Q37" i="3" s="1"/>
  <c r="P16" i="3"/>
  <c r="P34" i="3" s="1"/>
  <c r="P37" i="3" s="1"/>
  <c r="Q35" i="2"/>
  <c r="Q37" i="2" s="1"/>
  <c r="Q15" i="1"/>
  <c r="O19" i="1"/>
  <c r="N19" i="1"/>
  <c r="M19" i="1"/>
  <c r="L19" i="1"/>
  <c r="K19" i="1"/>
  <c r="J19" i="1"/>
  <c r="I19" i="1"/>
  <c r="H19" i="1"/>
  <c r="G19" i="1"/>
  <c r="F19" i="1"/>
  <c r="Q7" i="1"/>
  <c r="Q8" i="1"/>
  <c r="Q9" i="1"/>
  <c r="Q10" i="1"/>
  <c r="Q11" i="1"/>
  <c r="Q12" i="1"/>
  <c r="Q13" i="1"/>
  <c r="Q14" i="1"/>
  <c r="I4" i="1" l="1"/>
  <c r="K4" i="1"/>
  <c r="M4" i="1"/>
  <c r="O4" i="1"/>
  <c r="N4" i="1" l="1"/>
  <c r="J4" i="1"/>
  <c r="H4" i="1"/>
  <c r="L4" i="1"/>
  <c r="F4" i="1"/>
  <c r="Q5" i="1" l="1"/>
  <c r="Q6" i="1"/>
  <c r="E4" i="1"/>
  <c r="E16" i="1" s="1"/>
  <c r="E19" i="1" s="1"/>
  <c r="G4" i="1"/>
  <c r="D4" i="1"/>
</calcChain>
</file>

<file path=xl/sharedStrings.xml><?xml version="1.0" encoding="utf-8"?>
<sst xmlns="http://schemas.openxmlformats.org/spreadsheetml/2006/main" count="204" uniqueCount="104">
  <si>
    <t>序号</t>
    <phoneticPr fontId="2" type="noConversion"/>
  </si>
  <si>
    <t>项目</t>
    <phoneticPr fontId="2" type="noConversion"/>
  </si>
  <si>
    <t>a.</t>
    <phoneticPr fontId="2" type="noConversion"/>
  </si>
  <si>
    <t>b.</t>
    <phoneticPr fontId="2" type="noConversion"/>
  </si>
  <si>
    <t>集体福利</t>
  </si>
  <si>
    <t>个人消费</t>
  </si>
  <si>
    <t>1月</t>
    <phoneticPr fontId="2" type="noConversion"/>
  </si>
  <si>
    <t>2月</t>
  </si>
  <si>
    <t>3月</t>
  </si>
  <si>
    <t>4月</t>
  </si>
  <si>
    <t>5月</t>
  </si>
  <si>
    <t>6月</t>
  </si>
  <si>
    <t>7月</t>
  </si>
  <si>
    <t>8月</t>
  </si>
  <si>
    <t>9月</t>
  </si>
  <si>
    <t>10月</t>
  </si>
  <si>
    <t>11月</t>
  </si>
  <si>
    <t>12月</t>
  </si>
  <si>
    <t>非应税交易</t>
  </si>
  <si>
    <t>一、</t>
    <phoneticPr fontId="2" type="noConversion"/>
  </si>
  <si>
    <t>二、</t>
    <phoneticPr fontId="2" type="noConversion"/>
  </si>
  <si>
    <t>不允许抵扣项目产生的收入</t>
    <phoneticPr fontId="2" type="noConversion"/>
  </si>
  <si>
    <t>项目1</t>
    <phoneticPr fontId="2" type="noConversion"/>
  </si>
  <si>
    <t>项目2</t>
  </si>
  <si>
    <t>项目3</t>
  </si>
  <si>
    <t>三、</t>
    <phoneticPr fontId="2" type="noConversion"/>
  </si>
  <si>
    <t>四、</t>
    <phoneticPr fontId="2" type="noConversion"/>
  </si>
  <si>
    <t>五、</t>
    <phoneticPr fontId="2" type="noConversion"/>
  </si>
  <si>
    <t>年度汇算</t>
    <phoneticPr fontId="2" type="noConversion"/>
  </si>
  <si>
    <r>
      <t>2.免征增值税项目</t>
    </r>
    <r>
      <rPr>
        <sz val="9"/>
        <color rgb="FF000000"/>
        <rFont val="微软雅黑"/>
        <family val="2"/>
        <charset val="134"/>
      </rPr>
      <t>：即享受增值税免税优惠的业务项目，由于此类项目本身不产生销项税额，若允许抵扣进项税额会破坏增值税计税链条的完整性，例如部分符合政策的农产品初加工免税项目等。</t>
    </r>
    <phoneticPr fontId="2" type="noConversion"/>
  </si>
  <si>
    <r>
      <t>1.简易计税方法计税项目</t>
    </r>
    <r>
      <rPr>
        <sz val="9"/>
        <color rgb="FF000000"/>
        <rFont val="微软雅黑"/>
        <family val="2"/>
        <charset val="134"/>
      </rPr>
      <t>：这类计税方法下增值税应纳税额按销售额乘以征收率直接计算，计税逻辑无需进项税额抵扣，比如小规模纳税人通常适用的计税方式对应的相关项目。</t>
    </r>
    <phoneticPr fontId="2" type="noConversion"/>
  </si>
  <si>
    <r>
      <t>4.集体福利</t>
    </r>
    <r>
      <rPr>
        <sz val="9"/>
        <color rgb="FF000000"/>
        <rFont val="微软雅黑"/>
        <family val="2"/>
        <charset val="134"/>
      </rPr>
      <t>：指企业为员工提供的各类集体性福利相关项目，如单位建设的员工食堂、发放的集体宿舍用品、组织员工集体体检等所涉及的资产及相关支出对应的项目。</t>
    </r>
    <phoneticPr fontId="2" type="noConversion"/>
  </si>
  <si>
    <r>
      <t>5.个人消费</t>
    </r>
    <r>
      <rPr>
        <sz val="9"/>
        <color rgb="FF000000"/>
        <rFont val="微软雅黑"/>
        <family val="2"/>
        <charset val="134"/>
      </rPr>
      <t>：既包括员工个人的消费行为，也涵盖纳税人的交际应酬消费等，如企业购置用于员工个人使用的非生产经营类物品，或是用于个人商务接待的相关物资及服务对应的项目。</t>
    </r>
    <phoneticPr fontId="2" type="noConversion"/>
  </si>
  <si>
    <t>项目4</t>
  </si>
  <si>
    <t>项目5</t>
  </si>
  <si>
    <t>项目6</t>
  </si>
  <si>
    <t>项目7</t>
  </si>
  <si>
    <t>项目8</t>
  </si>
  <si>
    <t>项目9</t>
  </si>
  <si>
    <t>项目10</t>
  </si>
  <si>
    <t>c.</t>
  </si>
  <si>
    <t>d.</t>
  </si>
  <si>
    <t>e.</t>
  </si>
  <si>
    <t>发票1：（发票号）</t>
    <phoneticPr fontId="2" type="noConversion"/>
  </si>
  <si>
    <t>发票2：（发票号）</t>
  </si>
  <si>
    <t>发票3：（发票号）</t>
  </si>
  <si>
    <t>建议流程</t>
    <phoneticPr fontId="2" type="noConversion"/>
  </si>
  <si>
    <t>注意事项</t>
    <phoneticPr fontId="2" type="noConversion"/>
  </si>
  <si>
    <t>其他参考说明：</t>
    <phoneticPr fontId="2" type="noConversion"/>
  </si>
  <si>
    <t>混用项目已转出的进项额（根据申报表）</t>
    <phoneticPr fontId="2" type="noConversion"/>
  </si>
  <si>
    <t>须调整的转出进项额</t>
    <phoneticPr fontId="2" type="noConversion"/>
  </si>
  <si>
    <t>混用项目的相关进项额</t>
    <phoneticPr fontId="2" type="noConversion"/>
  </si>
  <si>
    <t>混用情况下相应收入的进项转出：</t>
    <phoneticPr fontId="2" type="noConversion"/>
  </si>
  <si>
    <t>其他进项转出（非混用）</t>
    <phoneticPr fontId="2" type="noConversion"/>
  </si>
  <si>
    <t>已转出的进项额（根据申报表）</t>
    <phoneticPr fontId="2" type="noConversion"/>
  </si>
  <si>
    <t>当期须转出的进项额</t>
    <phoneticPr fontId="2" type="noConversion"/>
  </si>
  <si>
    <t>当期混用须转出的进项额</t>
    <phoneticPr fontId="2" type="noConversion"/>
  </si>
  <si>
    <t>占比</t>
    <phoneticPr fontId="2" type="noConversion"/>
  </si>
  <si>
    <t>年度汇算(调整）</t>
    <phoneticPr fontId="2" type="noConversion"/>
  </si>
  <si>
    <t>预转出</t>
    <phoneticPr fontId="2" type="noConversion"/>
  </si>
  <si>
    <t>合计</t>
    <phoneticPr fontId="2" type="noConversion"/>
  </si>
  <si>
    <t>六、</t>
    <phoneticPr fontId="2" type="noConversion"/>
  </si>
  <si>
    <t>全年混用须转出的进项额</t>
    <phoneticPr fontId="2" type="noConversion"/>
  </si>
  <si>
    <t>年度须转出的进项额</t>
    <phoneticPr fontId="2" type="noConversion"/>
  </si>
  <si>
    <t>混用情况下应进项转出：</t>
    <phoneticPr fontId="2" type="noConversion"/>
  </si>
  <si>
    <t>进项转出汇总表</t>
    <phoneticPr fontId="2" type="noConversion"/>
  </si>
  <si>
    <r>
      <t>1.拆解收入构成</t>
    </r>
    <r>
      <rPr>
        <sz val="9"/>
        <color rgb="FF000000"/>
        <rFont val="微软雅黑"/>
        <family val="2"/>
        <charset val="134"/>
      </rPr>
      <t>：可以通过科目设置或者收入台账拆分应税收入以及其他五项不允许进项抵扣收入</t>
    </r>
    <r>
      <rPr>
        <b/>
        <sz val="9"/>
        <color rgb="FF000000"/>
        <rFont val="微软雅黑"/>
        <family val="2"/>
        <charset val="134"/>
      </rPr>
      <t>。</t>
    </r>
    <phoneticPr fontId="2" type="noConversion"/>
  </si>
  <si>
    <r>
      <t>3.计算须转出的混合收入对应进项：</t>
    </r>
    <r>
      <rPr>
        <sz val="9"/>
        <color rgb="FF000000"/>
        <rFont val="微软雅黑"/>
        <family val="2"/>
        <charset val="134"/>
      </rPr>
      <t>月度末核算混合收入项目的进项转出额。</t>
    </r>
    <phoneticPr fontId="2" type="noConversion"/>
  </si>
  <si>
    <r>
      <t>4.申报进项转出：</t>
    </r>
    <r>
      <rPr>
        <sz val="9"/>
        <color rgb="FF000000"/>
        <rFont val="微软雅黑"/>
        <family val="2"/>
        <charset val="134"/>
      </rPr>
      <t>按月申报进项转出。</t>
    </r>
    <phoneticPr fontId="2" type="noConversion"/>
  </si>
  <si>
    <r>
      <t>2.确认进项发票对应的收入项目</t>
    </r>
    <r>
      <rPr>
        <sz val="9"/>
        <color rgb="FF000000"/>
        <rFont val="微软雅黑"/>
        <family val="2"/>
        <charset val="134"/>
      </rPr>
      <t>：按照采购内容区别对应的项目成本费用，建议建立发票台账进行登记。</t>
    </r>
    <phoneticPr fontId="2" type="noConversion"/>
  </si>
  <si>
    <r>
      <t>5.年度汇算混合收入对应进项：</t>
    </r>
    <r>
      <rPr>
        <sz val="9"/>
        <color rgb="FF000000"/>
        <rFont val="微软雅黑"/>
        <family val="2"/>
        <charset val="134"/>
      </rPr>
      <t>结合其他需要进项转出的事项，对发票台账进行梳理确认，以免错报漏报。</t>
    </r>
    <phoneticPr fontId="2" type="noConversion"/>
  </si>
  <si>
    <t>1.注意每月的进项转出额过大会影响应交增值税，对现金流产生一定影响。</t>
    <phoneticPr fontId="2" type="noConversion"/>
  </si>
  <si>
    <t>2.年度汇算清缴，须保留可查的支持性文件，以便应对税务检查。</t>
    <phoneticPr fontId="2" type="noConversion"/>
  </si>
  <si>
    <t>原值&gt;500万元的单项长期资产，购进时先全额抵扣进项税额，同时在混合用途期间，应当根据折旧或者摊销年限，再计算五类不允许抵扣项目对应的不得从销项税额中抵扣的进项税额，逐年调整。</t>
    <phoneticPr fontId="2" type="noConversion"/>
  </si>
  <si>
    <t>若长期资产在可抵扣与不可抵扣项目间变更用途，将按照改变当期的期初净值，核算确定允许抵扣和需转出的进项税额。</t>
    <phoneticPr fontId="2" type="noConversion"/>
  </si>
  <si>
    <r>
      <rPr>
        <b/>
        <sz val="9"/>
        <color rgb="FF000000"/>
        <rFont val="微软雅黑"/>
        <family val="2"/>
        <charset val="134"/>
      </rPr>
      <t>7.转换用途：</t>
    </r>
    <r>
      <rPr>
        <sz val="9"/>
        <color rgb="FF000000"/>
        <rFont val="微软雅黑"/>
        <family val="2"/>
        <charset val="134"/>
      </rPr>
      <t>若长期资产在可抵扣与不可抵扣项目间变更用途，将按照改变当期的期初净值，核算确定允许抵扣和需转出的进项税额。</t>
    </r>
    <phoneticPr fontId="2" type="noConversion"/>
  </si>
  <si>
    <t>五类不允许抵扣进项的情形，须按照收入的比例对增值税进项进行转出处理。</t>
    <phoneticPr fontId="2" type="noConversion"/>
  </si>
  <si>
    <r>
      <t>6.固定资产</t>
    </r>
    <r>
      <rPr>
        <sz val="9"/>
        <color rgb="FF000000"/>
        <rFont val="微软雅黑"/>
        <family val="2"/>
        <charset val="134"/>
      </rPr>
      <t>：原值&lt;=500万元的单项长期资产，对应的进项税额可以全额从销项税额中抵扣，无需进项转出。</t>
    </r>
    <phoneticPr fontId="2" type="noConversion"/>
  </si>
  <si>
    <r>
      <t>2.政策要求：</t>
    </r>
    <r>
      <rPr>
        <sz val="9"/>
        <color rgb="FF000000"/>
        <rFont val="微软雅黑"/>
        <family val="2"/>
        <charset val="134"/>
      </rPr>
      <t>企业需建立完善的资产用途台账和进项税分摊台账</t>
    </r>
    <r>
      <rPr>
        <b/>
        <sz val="9"/>
        <color rgb="FF000000"/>
        <rFont val="微软雅黑"/>
        <family val="2"/>
        <charset val="134"/>
      </rPr>
      <t>。</t>
    </r>
    <phoneticPr fontId="2" type="noConversion"/>
  </si>
  <si>
    <r>
      <t>1.政策概述</t>
    </r>
    <r>
      <rPr>
        <sz val="9"/>
        <color rgb="FF000000"/>
        <rFont val="微软雅黑"/>
        <family val="2"/>
        <charset val="134"/>
      </rPr>
      <t>：a.当长期资产如固定资产、无形资产、不动产等用于公司经营，对应的收入涉及到一般计税方法计税项目，又用于简易计税方法计税项目、免征增值税项目、非应税交易、集体福利或个人消费等</t>
    </r>
    <phoneticPr fontId="2" type="noConversion"/>
  </si>
  <si>
    <t>一般纳税人购进货物 (不含固定资产)、服务，用于简易计税方法计税项目、免征增值税项目而无法划分不得抵扣的进项税额，按照下列公式计算当期不得抵扣的进项税额：</t>
    <phoneticPr fontId="2" type="noConversion"/>
  </si>
  <si>
    <t>当期不得抵扣的进项税额 = 当期无法划分的全部进项税额 ×(当期简易计税方法计税项目销售额 + 当期免征增值税项目销售额)÷ 当期全部销售额。</t>
    <phoneticPr fontId="2" type="noConversion"/>
  </si>
  <si>
    <t>纳税人应当按照上述公式逐期计算不得抵扣的进项税额，并在次年 1 月纳税申报期内依据全年汇总数据进行清算调整。</t>
  </si>
  <si>
    <r>
      <t>4.政策依据：</t>
    </r>
    <r>
      <rPr>
        <sz val="9"/>
        <color rgb="FF000000"/>
        <rFont val="微软雅黑"/>
        <family val="2"/>
        <charset val="134"/>
      </rPr>
      <t>国家税务总局官网,通过国家税务总局官网（https://www.chinatax.gov.cn）的 “互动交流 — 意见征集” 栏目，检索对应征求意见稿的发布内容</t>
    </r>
    <phoneticPr fontId="2" type="noConversion"/>
  </si>
  <si>
    <t>(1).《中华人民共和国增值税法实施条例（征求意见稿）》其他货物、服务混用的年度清算（第二十三条）</t>
    <phoneticPr fontId="2" type="noConversion"/>
  </si>
  <si>
    <t>(2).《中华人民共和国增值税法实施条例（征求意见稿）》长期资产混用的汇算调整（第二十六条）</t>
    <phoneticPr fontId="2" type="noConversion"/>
  </si>
  <si>
    <t>固定资产、无形资产或者不动产同时用于一般计税方法计税项目和简易计税方法计税项目、免征增值税项目、非应税交易、集体福利或者个人消费的，其进项税额按照下列规定处理：</t>
    <phoneticPr fontId="2" type="noConversion"/>
  </si>
  <si>
    <t>单项原值超过 500 万元的，购进时其进项税额可以全额从销项税额中抵扣，混合用途期间，应当根据折旧或者摊销年限，计算不得抵扣项目对应的进项税额并逐年调整转出。</t>
  </si>
  <si>
    <t>单项原值不超过 500 万元的，进项税额可以全额从销项税额中抵扣；</t>
    <phoneticPr fontId="2" type="noConversion"/>
  </si>
  <si>
    <t>b.一般纳税人购进货物 (不含固定资产)、服务，用于简易计税方法计税项目、免征增值税项目而无法划分不得抵扣的进项税额。</t>
    <phoneticPr fontId="2" type="noConversion"/>
  </si>
  <si>
    <t>其他货物、服务混用相关</t>
    <phoneticPr fontId="2" type="noConversion"/>
  </si>
  <si>
    <t>简易计税方法计税项目</t>
    <phoneticPr fontId="2" type="noConversion"/>
  </si>
  <si>
    <t>一般计税方法计税项目</t>
    <phoneticPr fontId="2" type="noConversion"/>
  </si>
  <si>
    <t>免征增值税项目</t>
    <phoneticPr fontId="2" type="noConversion"/>
  </si>
  <si>
    <t>长期资产混用相关</t>
    <phoneticPr fontId="2" type="noConversion"/>
  </si>
  <si>
    <t>* 表格黄色部分为填写区域</t>
    <phoneticPr fontId="2" type="noConversion"/>
  </si>
  <si>
    <t>其他货物、服务混用相关收入</t>
    <phoneticPr fontId="2" type="noConversion"/>
  </si>
  <si>
    <t>一般计税方法计税项目收入</t>
    <phoneticPr fontId="2" type="noConversion"/>
  </si>
  <si>
    <t>长期资产混用相关收入</t>
    <phoneticPr fontId="2" type="noConversion"/>
  </si>
  <si>
    <r>
      <t>6.填写申报表：</t>
    </r>
    <r>
      <rPr>
        <sz val="9"/>
        <color rgb="FF000000"/>
        <rFont val="微软雅黑"/>
        <family val="2"/>
        <charset val="134"/>
      </rPr>
      <t>确保申报表数字和工作底稿一致。</t>
    </r>
    <phoneticPr fontId="2" type="noConversion"/>
  </si>
  <si>
    <r>
      <t>3.非应税交易</t>
    </r>
    <r>
      <rPr>
        <sz val="9"/>
        <color rgb="FF000000"/>
        <rFont val="微软雅黑"/>
        <family val="2"/>
        <charset val="134"/>
      </rPr>
      <t>：对应《增值税法》中规定的不征收增值税的交易行为，如员工为受雇单位提供取得工资的服务、收取行政事业性收费、取得存款利息收入等无增值税应税义务，其对应的进项税额自然无法抵扣。</t>
    </r>
    <phoneticPr fontId="2" type="noConversion"/>
  </si>
  <si>
    <t>政策概述以及依据：</t>
    <phoneticPr fontId="2" type="noConversion"/>
  </si>
  <si>
    <r>
      <t>3.申报要求：</t>
    </r>
    <r>
      <rPr>
        <sz val="9"/>
        <color rgb="FF000000"/>
        <rFont val="微软雅黑"/>
        <family val="2"/>
        <charset val="134"/>
      </rPr>
      <t>先逐期归集数据，逐期计算并暂估转出金额。年度汇算清算调整，汇总全年的全部进项税额、应税与免税及简易计税项目的总销售额，重新核算全年应转出的进项税额</t>
    </r>
    <phoneticPr fontId="2" type="noConversion"/>
  </si>
  <si>
    <r>
      <t>财税处理流程</t>
    </r>
    <r>
      <rPr>
        <b/>
        <sz val="18"/>
        <color theme="1"/>
        <rFont val="等线"/>
        <family val="3"/>
        <charset val="134"/>
        <scheme val="minor"/>
      </rPr>
      <t>（混用进项转出）</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</si>
</sst>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22" x14ac:knownFonts="1">
    <font>
      <sz val="11"/>
      <color theme="1"/>
      <name val="等线"/>
      <family val="2"/>
      <charset val="134"/>
      <scheme val="minor"/>
    </font>
    <font>
      <sz val="11"/>
      <color theme="1"/>
      <name val="等线"/>
      <family val="2"/>
      <charset val="134"/>
      <scheme val="minor"/>
    </font>
    <font>
      <sz val="9"/>
      <name val="等线"/>
      <family val="2"/>
      <charset val="134"/>
      <scheme val="minor"/>
    </font>
    <font>
      <sz val="9"/>
      <color theme="1"/>
      <name val="等线"/>
      <family val="2"/>
      <charset val="134"/>
      <scheme val="minor"/>
    </font>
    <font>
      <sz val="9"/>
      <color theme="1"/>
      <name val="等线"/>
      <family val="3"/>
      <charset val="134"/>
      <scheme val="minor"/>
    </font>
    <font>
      <b/>
      <sz val="11"/>
      <color theme="1"/>
      <name val="等线"/>
      <family val="3"/>
      <charset val="134"/>
      <scheme val="minor"/>
    </font>
    <font>
      <b/>
      <sz val="11"/>
      <color rgb="FFFF0000"/>
      <name val="等线"/>
      <family val="3"/>
      <charset val="134"/>
      <scheme val="minor"/>
    </font>
    <font>
      <sz val="11"/>
      <color theme="1"/>
      <name val="等线"/>
      <family val="3"/>
      <charset val="134"/>
      <scheme val="minor"/>
    </font>
    <font>
      <b/>
      <sz val="9"/>
      <color rgb="FF000000"/>
      <name val="微软雅黑"/>
      <family val="2"/>
      <charset val="134"/>
    </font>
    <font>
      <sz val="9"/>
      <color rgb="FF000000"/>
      <name val="微软雅黑"/>
      <family val="2"/>
      <charset val="134"/>
    </font>
    <font>
      <sz val="11"/>
      <name val="等线"/>
      <family val="3"/>
      <charset val="134"/>
      <scheme val="minor"/>
    </font>
    <font>
      <b/>
      <sz val="11"/>
      <name val="等线"/>
      <family val="3"/>
      <charset val="134"/>
      <scheme val="minor"/>
    </font>
    <font>
      <b/>
      <sz val="20"/>
      <color theme="1"/>
      <name val="等线"/>
      <family val="3"/>
      <charset val="134"/>
      <scheme val="minor"/>
    </font>
    <font>
      <sz val="14"/>
      <color theme="1"/>
      <name val="等线"/>
      <family val="2"/>
      <charset val="134"/>
      <scheme val="minor"/>
    </font>
    <font>
      <sz val="14"/>
      <color theme="1"/>
      <name val="等线"/>
      <family val="3"/>
      <charset val="134"/>
      <scheme val="minor"/>
    </font>
    <font>
      <b/>
      <sz val="9"/>
      <color theme="1"/>
      <name val="等线"/>
      <family val="3"/>
      <charset val="134"/>
      <scheme val="minor"/>
    </font>
    <font>
      <sz val="9"/>
      <name val="等线"/>
      <family val="3"/>
      <charset val="134"/>
      <scheme val="minor"/>
    </font>
    <font>
      <b/>
      <sz val="26"/>
      <color theme="1"/>
      <name val="等线"/>
      <family val="3"/>
      <charset val="134"/>
      <scheme val="minor"/>
    </font>
    <font>
      <sz val="9"/>
      <color theme="4" tint="-0.249977111117893"/>
      <name val="微软雅黑"/>
      <family val="2"/>
      <charset val="134"/>
    </font>
    <font>
      <sz val="14"/>
      <color theme="4" tint="-0.249977111117893"/>
      <name val="等线"/>
      <family val="3"/>
      <charset val="134"/>
      <scheme val="minor"/>
    </font>
    <font>
      <sz val="11"/>
      <color theme="4" tint="-0.249977111117893"/>
      <name val="等线"/>
      <family val="2"/>
      <charset val="134"/>
      <scheme val="minor"/>
    </font>
    <font>
      <b/>
      <sz val="18"/>
      <color theme="1"/>
      <name val="等线"/>
      <family val="3"/>
      <charset val="134"/>
      <scheme val="minor"/>
    </font>
  </fonts>
  <fills count="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4.9989318521683403E-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right style="medium">
        <color indexed="64"/>
      </right>
      <top style="double">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style="medium">
        <color indexed="64"/>
      </right>
      <top style="thin">
        <color indexed="64"/>
      </top>
      <bottom style="thin">
        <color indexed="64"/>
      </bottom>
      <diagonal/>
    </border>
  </borders>
  <cellStyleXfs count="2">
    <xf numFmtId="0" fontId="0" fillId="0" borderId="0">
      <alignment vertical="center"/>
    </xf>
    <xf numFmtId="43" fontId="1" fillId="0" borderId="0" applyFont="0" applyFill="0" applyBorder="0" applyAlignment="0" applyProtection="0">
      <alignment vertical="center"/>
    </xf>
  </cellStyleXfs>
  <cellXfs count="121">
    <xf numFmtId="0" fontId="0" fillId="0" borderId="0" xfId="0">
      <alignment vertical="center"/>
    </xf>
    <xf numFmtId="43" fontId="0" fillId="0" borderId="0" xfId="1" applyFont="1">
      <alignment vertical="center"/>
    </xf>
    <xf numFmtId="0" fontId="0" fillId="0" borderId="0" xfId="0" applyFill="1">
      <alignment vertical="center"/>
    </xf>
    <xf numFmtId="43" fontId="0" fillId="0" borderId="0" xfId="1" applyFont="1" applyFill="1">
      <alignment vertical="center"/>
    </xf>
    <xf numFmtId="0" fontId="5" fillId="0" borderId="1" xfId="0" applyFont="1" applyBorder="1">
      <alignment vertical="center"/>
    </xf>
    <xf numFmtId="43" fontId="5" fillId="0" borderId="1" xfId="1" applyFont="1" applyFill="1" applyBorder="1">
      <alignment vertical="center"/>
    </xf>
    <xf numFmtId="43" fontId="0" fillId="0" borderId="1" xfId="1" applyFont="1" applyFill="1" applyBorder="1">
      <alignment vertical="center"/>
    </xf>
    <xf numFmtId="0" fontId="4" fillId="0" borderId="1" xfId="0" applyFont="1" applyFill="1" applyBorder="1">
      <alignment vertical="center"/>
    </xf>
    <xf numFmtId="0" fontId="7" fillId="0" borderId="1" xfId="0" applyFont="1" applyBorder="1">
      <alignment vertical="center"/>
    </xf>
    <xf numFmtId="43" fontId="7" fillId="0" borderId="1" xfId="1" applyFont="1" applyFill="1" applyBorder="1">
      <alignment vertical="center"/>
    </xf>
    <xf numFmtId="43" fontId="6" fillId="0" borderId="1" xfId="1" applyFont="1" applyFill="1" applyBorder="1">
      <alignment vertical="center"/>
    </xf>
    <xf numFmtId="0" fontId="5" fillId="0" borderId="2" xfId="0" applyFont="1" applyBorder="1">
      <alignment vertical="center"/>
    </xf>
    <xf numFmtId="0" fontId="7" fillId="0" borderId="1" xfId="0" applyFont="1" applyFill="1" applyBorder="1">
      <alignment vertical="center"/>
    </xf>
    <xf numFmtId="0" fontId="5" fillId="0" borderId="0" xfId="0" applyFont="1" applyBorder="1">
      <alignment vertical="center"/>
    </xf>
    <xf numFmtId="43" fontId="6" fillId="0" borderId="0" xfId="1" applyFont="1" applyFill="1" applyBorder="1">
      <alignment vertical="center"/>
    </xf>
    <xf numFmtId="0" fontId="0" fillId="0" borderId="0" xfId="0" applyBorder="1">
      <alignment vertical="center"/>
    </xf>
    <xf numFmtId="43" fontId="0" fillId="0" borderId="1" xfId="1" applyFont="1" applyBorder="1">
      <alignment vertical="center"/>
    </xf>
    <xf numFmtId="43" fontId="0" fillId="0" borderId="0" xfId="1" applyFont="1" applyBorder="1">
      <alignment vertical="center"/>
    </xf>
    <xf numFmtId="0" fontId="7" fillId="0" borderId="0" xfId="0" applyFont="1" applyFill="1">
      <alignment vertical="center"/>
    </xf>
    <xf numFmtId="43" fontId="5" fillId="0" borderId="2" xfId="1" applyFont="1" applyBorder="1">
      <alignment vertical="center"/>
    </xf>
    <xf numFmtId="43" fontId="10" fillId="0" borderId="1" xfId="1" applyFont="1" applyFill="1" applyBorder="1">
      <alignment vertical="center"/>
    </xf>
    <xf numFmtId="0" fontId="10" fillId="0" borderId="1" xfId="0" applyFont="1" applyBorder="1">
      <alignment vertical="center"/>
    </xf>
    <xf numFmtId="43" fontId="11" fillId="0" borderId="1" xfId="1" applyFont="1" applyFill="1" applyBorder="1">
      <alignment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43" fontId="5" fillId="4" borderId="12" xfId="1" applyFont="1" applyFill="1" applyBorder="1" applyAlignment="1">
      <alignment horizontal="center" vertical="center"/>
    </xf>
    <xf numFmtId="0" fontId="5" fillId="0" borderId="14" xfId="0" applyFont="1" applyBorder="1">
      <alignment vertical="center"/>
    </xf>
    <xf numFmtId="0" fontId="5" fillId="0" borderId="17" xfId="0" applyFont="1" applyBorder="1">
      <alignment vertical="center"/>
    </xf>
    <xf numFmtId="0" fontId="3" fillId="0" borderId="17" xfId="0" applyFont="1" applyBorder="1" applyAlignment="1">
      <alignment horizontal="right" vertical="center"/>
    </xf>
    <xf numFmtId="0" fontId="4" fillId="0" borderId="17" xfId="0" applyFont="1" applyBorder="1" applyAlignment="1">
      <alignment horizontal="right" vertical="center"/>
    </xf>
    <xf numFmtId="0" fontId="5" fillId="0" borderId="18" xfId="0" applyFont="1" applyBorder="1">
      <alignment vertical="center"/>
    </xf>
    <xf numFmtId="0" fontId="5" fillId="0" borderId="19" xfId="0" applyFont="1" applyBorder="1">
      <alignment vertical="center"/>
    </xf>
    <xf numFmtId="43" fontId="6" fillId="0" borderId="19" xfId="1" applyFont="1" applyFill="1" applyBorder="1">
      <alignment vertical="center"/>
    </xf>
    <xf numFmtId="0" fontId="12" fillId="0" borderId="0" xfId="0" applyFont="1">
      <alignment vertical="center"/>
    </xf>
    <xf numFmtId="0" fontId="5" fillId="4" borderId="11" xfId="0" applyFont="1" applyFill="1" applyBorder="1">
      <alignment vertical="center"/>
    </xf>
    <xf numFmtId="0" fontId="5" fillId="4" borderId="12" xfId="0" applyFont="1" applyFill="1" applyBorder="1">
      <alignment vertical="center"/>
    </xf>
    <xf numFmtId="43" fontId="5" fillId="4" borderId="12" xfId="1" applyFont="1" applyFill="1" applyBorder="1">
      <alignment vertical="center"/>
    </xf>
    <xf numFmtId="0" fontId="5" fillId="2" borderId="13" xfId="0" applyFont="1" applyFill="1" applyBorder="1">
      <alignment vertical="center"/>
    </xf>
    <xf numFmtId="43" fontId="5" fillId="2" borderId="29" xfId="0" applyNumberFormat="1" applyFont="1" applyFill="1" applyBorder="1">
      <alignment vertical="center"/>
    </xf>
    <xf numFmtId="0" fontId="7" fillId="0" borderId="17" xfId="0" applyFont="1" applyFill="1" applyBorder="1">
      <alignment vertical="center"/>
    </xf>
    <xf numFmtId="43" fontId="7" fillId="2" borderId="16" xfId="0" applyNumberFormat="1" applyFont="1" applyFill="1" applyBorder="1">
      <alignment vertical="center"/>
    </xf>
    <xf numFmtId="0" fontId="0" fillId="0" borderId="17" xfId="0" applyFill="1" applyBorder="1">
      <alignment vertical="center"/>
    </xf>
    <xf numFmtId="43" fontId="0" fillId="2" borderId="16" xfId="0" applyNumberFormat="1" applyFill="1" applyBorder="1">
      <alignment vertical="center"/>
    </xf>
    <xf numFmtId="0" fontId="3" fillId="0" borderId="17" xfId="0" applyFont="1" applyFill="1" applyBorder="1" applyAlignment="1">
      <alignment horizontal="right" vertical="center"/>
    </xf>
    <xf numFmtId="0" fontId="4" fillId="0" borderId="17" xfId="0" applyFont="1" applyFill="1" applyBorder="1" applyAlignment="1">
      <alignment horizontal="right" vertical="center"/>
    </xf>
    <xf numFmtId="43" fontId="11" fillId="2" borderId="16" xfId="0" applyNumberFormat="1" applyFont="1" applyFill="1" applyBorder="1">
      <alignment vertical="center"/>
    </xf>
    <xf numFmtId="43" fontId="10" fillId="5" borderId="16" xfId="1" applyFont="1" applyFill="1" applyBorder="1">
      <alignment vertical="center"/>
    </xf>
    <xf numFmtId="43" fontId="10" fillId="2" borderId="16" xfId="1" applyFont="1" applyFill="1" applyBorder="1">
      <alignment vertical="center"/>
    </xf>
    <xf numFmtId="43" fontId="10" fillId="0" borderId="19" xfId="1" applyFont="1" applyFill="1" applyBorder="1">
      <alignment vertical="center"/>
    </xf>
    <xf numFmtId="43" fontId="10" fillId="2" borderId="20" xfId="1" applyFont="1" applyFill="1" applyBorder="1">
      <alignment vertical="center"/>
    </xf>
    <xf numFmtId="0" fontId="0" fillId="6" borderId="21" xfId="0" applyFill="1" applyBorder="1">
      <alignment vertical="center"/>
    </xf>
    <xf numFmtId="0" fontId="0" fillId="6" borderId="24" xfId="0" applyFill="1" applyBorder="1">
      <alignment vertical="center"/>
    </xf>
    <xf numFmtId="0" fontId="0" fillId="6" borderId="0" xfId="0" applyFill="1" applyBorder="1">
      <alignment vertical="center"/>
    </xf>
    <xf numFmtId="0" fontId="0" fillId="6" borderId="25" xfId="0" applyFill="1" applyBorder="1">
      <alignment vertical="center"/>
    </xf>
    <xf numFmtId="0" fontId="14" fillId="6" borderId="0" xfId="0" applyFont="1" applyFill="1" applyBorder="1">
      <alignment vertical="center"/>
    </xf>
    <xf numFmtId="0" fontId="8" fillId="6" borderId="0" xfId="0" applyFont="1" applyFill="1" applyBorder="1" applyAlignment="1">
      <alignment vertical="center"/>
    </xf>
    <xf numFmtId="0" fontId="9" fillId="6" borderId="0" xfId="0" applyFont="1" applyFill="1" applyBorder="1" applyAlignment="1">
      <alignment vertical="center"/>
    </xf>
    <xf numFmtId="0" fontId="0" fillId="6" borderId="26" xfId="0" applyFill="1" applyBorder="1">
      <alignment vertical="center"/>
    </xf>
    <xf numFmtId="0" fontId="8" fillId="6" borderId="27" xfId="0" applyFont="1" applyFill="1" applyBorder="1" applyAlignment="1">
      <alignment vertical="center"/>
    </xf>
    <xf numFmtId="0" fontId="6" fillId="0" borderId="14" xfId="0" applyFont="1" applyBorder="1">
      <alignment vertical="center"/>
    </xf>
    <xf numFmtId="0" fontId="6" fillId="0" borderId="1" xfId="0" applyFont="1" applyBorder="1">
      <alignment vertical="center"/>
    </xf>
    <xf numFmtId="0" fontId="7" fillId="0" borderId="17" xfId="0" applyFont="1" applyBorder="1">
      <alignment vertical="center"/>
    </xf>
    <xf numFmtId="0" fontId="5" fillId="0" borderId="1" xfId="0" applyFont="1" applyFill="1" applyBorder="1">
      <alignment vertical="center"/>
    </xf>
    <xf numFmtId="0" fontId="3" fillId="3" borderId="0" xfId="0" applyFont="1" applyFill="1">
      <alignment vertical="center"/>
    </xf>
    <xf numFmtId="0" fontId="5" fillId="0" borderId="17" xfId="0" applyFont="1" applyFill="1" applyBorder="1">
      <alignment vertical="center"/>
    </xf>
    <xf numFmtId="0" fontId="0" fillId="0" borderId="1" xfId="0" applyFill="1" applyBorder="1">
      <alignment vertical="center"/>
    </xf>
    <xf numFmtId="0" fontId="11" fillId="0" borderId="1" xfId="0" applyFont="1" applyBorder="1">
      <alignment vertical="center"/>
    </xf>
    <xf numFmtId="0" fontId="10" fillId="0" borderId="17" xfId="0" applyFont="1" applyBorder="1">
      <alignment vertical="center"/>
    </xf>
    <xf numFmtId="0" fontId="10" fillId="0" borderId="1" xfId="0" applyFont="1" applyFill="1" applyBorder="1">
      <alignment vertical="center"/>
    </xf>
    <xf numFmtId="0" fontId="16" fillId="0" borderId="17" xfId="0" applyFont="1" applyBorder="1" applyAlignment="1">
      <alignment horizontal="right" vertical="center"/>
    </xf>
    <xf numFmtId="0" fontId="16" fillId="0" borderId="1" xfId="0" applyFont="1" applyFill="1" applyBorder="1">
      <alignment vertical="center"/>
    </xf>
    <xf numFmtId="0" fontId="16" fillId="0" borderId="14" xfId="0" applyFont="1" applyBorder="1" applyAlignment="1">
      <alignment horizontal="right" vertical="center"/>
    </xf>
    <xf numFmtId="43" fontId="3" fillId="3" borderId="1" xfId="1" applyFont="1" applyFill="1" applyBorder="1">
      <alignment vertical="center"/>
    </xf>
    <xf numFmtId="43" fontId="15" fillId="3" borderId="1" xfId="1" applyFont="1" applyFill="1" applyBorder="1">
      <alignment vertical="center"/>
    </xf>
    <xf numFmtId="43" fontId="4" fillId="3" borderId="1" xfId="1" applyFont="1" applyFill="1" applyBorder="1">
      <alignment vertical="center"/>
    </xf>
    <xf numFmtId="0" fontId="4" fillId="3" borderId="1" xfId="0" applyFont="1" applyFill="1" applyBorder="1">
      <alignment vertical="center"/>
    </xf>
    <xf numFmtId="0" fontId="5" fillId="0" borderId="14" xfId="0" applyFont="1" applyFill="1" applyBorder="1">
      <alignment vertical="center"/>
    </xf>
    <xf numFmtId="43" fontId="5" fillId="2" borderId="16" xfId="1" applyFont="1" applyFill="1" applyBorder="1">
      <alignment vertical="center"/>
    </xf>
    <xf numFmtId="43" fontId="7" fillId="0" borderId="0" xfId="1" applyFont="1">
      <alignment vertical="center"/>
    </xf>
    <xf numFmtId="43" fontId="7" fillId="2" borderId="13" xfId="1" applyFont="1" applyFill="1" applyBorder="1" applyAlignment="1">
      <alignment horizontal="center" vertical="center"/>
    </xf>
    <xf numFmtId="43" fontId="7" fillId="0" borderId="15" xfId="1" applyFont="1" applyFill="1" applyBorder="1" applyAlignment="1">
      <alignment vertical="center"/>
    </xf>
    <xf numFmtId="43" fontId="7" fillId="0" borderId="32" xfId="1" applyFont="1" applyFill="1" applyBorder="1" applyAlignment="1">
      <alignment vertical="center"/>
    </xf>
    <xf numFmtId="43" fontId="7" fillId="2" borderId="16" xfId="1" applyFont="1" applyFill="1" applyBorder="1">
      <alignment vertical="center"/>
    </xf>
    <xf numFmtId="43" fontId="7" fillId="0" borderId="16" xfId="1" applyFont="1" applyFill="1" applyBorder="1">
      <alignment vertical="center"/>
    </xf>
    <xf numFmtId="43" fontId="7" fillId="5" borderId="16" xfId="1" applyFont="1" applyFill="1" applyBorder="1">
      <alignment vertical="center"/>
    </xf>
    <xf numFmtId="43" fontId="7" fillId="2" borderId="20" xfId="1" applyFont="1" applyFill="1" applyBorder="1">
      <alignment vertical="center"/>
    </xf>
    <xf numFmtId="43" fontId="7" fillId="0" borderId="0" xfId="1" applyFont="1" applyBorder="1">
      <alignment vertical="center"/>
    </xf>
    <xf numFmtId="0" fontId="11" fillId="0" borderId="14" xfId="0" applyFont="1" applyBorder="1">
      <alignment vertical="center"/>
    </xf>
    <xf numFmtId="0" fontId="11" fillId="0" borderId="17" xfId="0" applyFont="1" applyFill="1" applyBorder="1">
      <alignment vertical="center"/>
    </xf>
    <xf numFmtId="0" fontId="11" fillId="0" borderId="1" xfId="0" applyFont="1" applyFill="1" applyBorder="1">
      <alignment vertical="center"/>
    </xf>
    <xf numFmtId="0" fontId="5" fillId="0" borderId="0" xfId="0" applyFont="1" applyFill="1">
      <alignment vertical="center"/>
    </xf>
    <xf numFmtId="0" fontId="5" fillId="0" borderId="0" xfId="0" applyFont="1">
      <alignment vertical="center"/>
    </xf>
    <xf numFmtId="0" fontId="13" fillId="6" borderId="0" xfId="0" applyFont="1" applyFill="1" applyBorder="1">
      <alignment vertical="center"/>
    </xf>
    <xf numFmtId="0" fontId="0" fillId="6" borderId="22" xfId="0" applyFill="1" applyBorder="1">
      <alignment vertical="center"/>
    </xf>
    <xf numFmtId="0" fontId="0" fillId="6" borderId="23" xfId="0" applyFill="1" applyBorder="1">
      <alignment vertical="center"/>
    </xf>
    <xf numFmtId="0" fontId="0" fillId="6" borderId="27" xfId="0" applyFill="1" applyBorder="1">
      <alignment vertical="center"/>
    </xf>
    <xf numFmtId="0" fontId="0" fillId="6" borderId="28" xfId="0" applyFill="1" applyBorder="1">
      <alignment vertical="center"/>
    </xf>
    <xf numFmtId="43" fontId="4" fillId="0" borderId="1" xfId="1" applyFont="1" applyFill="1" applyBorder="1">
      <alignment vertical="center"/>
    </xf>
    <xf numFmtId="43" fontId="15" fillId="0" borderId="1" xfId="1" applyFont="1" applyFill="1" applyBorder="1">
      <alignment vertical="center"/>
    </xf>
    <xf numFmtId="0" fontId="18" fillId="6" borderId="0" xfId="0" applyFont="1" applyFill="1" applyBorder="1" applyAlignment="1">
      <alignment vertical="center"/>
    </xf>
    <xf numFmtId="0" fontId="19" fillId="6" borderId="0" xfId="0" applyFont="1" applyFill="1" applyBorder="1">
      <alignment vertical="center"/>
    </xf>
    <xf numFmtId="0" fontId="20" fillId="6" borderId="0" xfId="0" applyFont="1" applyFill="1" applyBorder="1">
      <alignment vertical="center"/>
    </xf>
    <xf numFmtId="43" fontId="6" fillId="3" borderId="1" xfId="1" applyFont="1" applyFill="1" applyBorder="1">
      <alignment vertical="center"/>
    </xf>
    <xf numFmtId="0" fontId="0" fillId="3" borderId="1" xfId="0" applyFill="1" applyBorder="1">
      <alignment vertical="center"/>
    </xf>
    <xf numFmtId="0" fontId="17" fillId="6" borderId="22" xfId="0" applyFont="1" applyFill="1" applyBorder="1" applyAlignment="1">
      <alignment horizontal="center" vertical="center"/>
    </xf>
    <xf numFmtId="0" fontId="5" fillId="0" borderId="9" xfId="0" applyFont="1" applyFill="1" applyBorder="1" applyAlignment="1">
      <alignment horizontal="center" vertical="center"/>
    </xf>
    <xf numFmtId="0" fontId="5" fillId="0" borderId="30" xfId="0" applyFont="1" applyFill="1" applyBorder="1" applyAlignment="1">
      <alignment horizontal="center" vertical="center"/>
    </xf>
    <xf numFmtId="0" fontId="5" fillId="0" borderId="31" xfId="0" applyFont="1" applyFill="1" applyBorder="1" applyAlignment="1">
      <alignment horizontal="center" vertical="center"/>
    </xf>
    <xf numFmtId="43" fontId="10" fillId="5" borderId="5" xfId="1" applyFont="1" applyFill="1" applyBorder="1" applyAlignment="1">
      <alignment horizontal="center" vertical="center"/>
    </xf>
    <xf numFmtId="43" fontId="10" fillId="5" borderId="6" xfId="1" applyFont="1" applyFill="1" applyBorder="1" applyAlignment="1">
      <alignment horizontal="center" vertical="center"/>
    </xf>
    <xf numFmtId="43" fontId="10" fillId="5" borderId="7" xfId="1" applyFont="1" applyFill="1" applyBorder="1" applyAlignment="1">
      <alignment horizontal="center" vertical="center"/>
    </xf>
    <xf numFmtId="43" fontId="6" fillId="5" borderId="5" xfId="1" applyFont="1" applyFill="1" applyBorder="1" applyAlignment="1">
      <alignment horizontal="center" vertical="center"/>
    </xf>
    <xf numFmtId="43" fontId="6" fillId="5" borderId="6" xfId="1" applyFont="1" applyFill="1" applyBorder="1" applyAlignment="1">
      <alignment horizontal="center" vertical="center"/>
    </xf>
    <xf numFmtId="43" fontId="6" fillId="5" borderId="7" xfId="1" applyFont="1" applyFill="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43" fontId="0" fillId="0" borderId="3" xfId="1" applyFont="1" applyFill="1" applyBorder="1" applyAlignment="1">
      <alignment horizontal="center" vertical="center"/>
    </xf>
    <xf numFmtId="43" fontId="0" fillId="0" borderId="4" xfId="1" applyFont="1" applyFill="1" applyBorder="1" applyAlignment="1">
      <alignment horizontal="center" vertical="center"/>
    </xf>
    <xf numFmtId="43" fontId="0" fillId="0" borderId="5" xfId="1" applyFont="1" applyFill="1" applyBorder="1" applyAlignment="1">
      <alignment horizontal="center" vertical="center"/>
    </xf>
    <xf numFmtId="43" fontId="0" fillId="0" borderId="6" xfId="1" applyFont="1" applyFill="1" applyBorder="1" applyAlignment="1">
      <alignment horizontal="center" vertical="center"/>
    </xf>
  </cellXfs>
  <cellStyles count="2">
    <cellStyle name="常规" xfId="0" builtinId="0"/>
    <cellStyle name="千位分隔" xfId="1"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80B2E-4DC8-407A-9C6B-004AE3BC2737}">
  <dimension ref="B1:S43"/>
  <sheetViews>
    <sheetView tabSelected="1" zoomScale="90" zoomScaleNormal="90" workbookViewId="0">
      <selection activeCell="I19" sqref="I19"/>
    </sheetView>
  </sheetViews>
  <sheetFormatPr defaultRowHeight="13.9" x14ac:dyDescent="0.4"/>
  <cols>
    <col min="1" max="2" width="2.6640625" style="52" customWidth="1"/>
    <col min="3" max="3" width="4.53125" style="52" customWidth="1"/>
    <col min="4" max="4" width="9.265625" style="52" customWidth="1"/>
    <col min="5" max="17" width="9.06640625" style="52"/>
    <col min="18" max="18" width="20.1328125" style="52" customWidth="1"/>
    <col min="19" max="19" width="4.9296875" style="52" customWidth="1"/>
    <col min="20" max="16384" width="9.06640625" style="52"/>
  </cols>
  <sheetData>
    <row r="1" spans="2:19" ht="14.25" thickBot="1" x14ac:dyDescent="0.45"/>
    <row r="2" spans="2:19" ht="39.4" customHeight="1" x14ac:dyDescent="0.4">
      <c r="B2" s="50"/>
      <c r="C2" s="93"/>
      <c r="D2" s="104" t="s">
        <v>103</v>
      </c>
      <c r="E2" s="104"/>
      <c r="F2" s="104"/>
      <c r="G2" s="104"/>
      <c r="H2" s="104"/>
      <c r="I2" s="104"/>
      <c r="J2" s="104"/>
      <c r="K2" s="104"/>
      <c r="L2" s="104"/>
      <c r="M2" s="104"/>
      <c r="N2" s="104"/>
      <c r="O2" s="104"/>
      <c r="P2" s="104"/>
      <c r="Q2" s="104"/>
      <c r="R2" s="104"/>
      <c r="S2" s="94"/>
    </row>
    <row r="3" spans="2:19" ht="16.05" customHeight="1" x14ac:dyDescent="0.4">
      <c r="B3" s="51"/>
      <c r="S3" s="53"/>
    </row>
    <row r="4" spans="2:19" ht="16.05" customHeight="1" x14ac:dyDescent="0.4">
      <c r="B4" s="51"/>
      <c r="C4" s="92" t="s">
        <v>19</v>
      </c>
      <c r="D4" s="54" t="s">
        <v>101</v>
      </c>
      <c r="E4" s="54"/>
      <c r="F4" s="54"/>
      <c r="S4" s="53"/>
    </row>
    <row r="5" spans="2:19" ht="16.05" customHeight="1" x14ac:dyDescent="0.4">
      <c r="B5" s="51"/>
      <c r="C5" s="92"/>
      <c r="D5" s="55" t="s">
        <v>79</v>
      </c>
      <c r="E5" s="54"/>
      <c r="F5" s="54"/>
      <c r="S5" s="53"/>
    </row>
    <row r="6" spans="2:19" ht="16.05" customHeight="1" x14ac:dyDescent="0.4">
      <c r="B6" s="51"/>
      <c r="C6" s="92"/>
      <c r="D6" s="55"/>
      <c r="E6" s="56" t="s">
        <v>76</v>
      </c>
      <c r="F6" s="54"/>
      <c r="S6" s="53"/>
    </row>
    <row r="7" spans="2:19" ht="16.05" customHeight="1" x14ac:dyDescent="0.4">
      <c r="B7" s="51"/>
      <c r="C7" s="92"/>
      <c r="D7" s="55"/>
      <c r="E7" s="56" t="s">
        <v>89</v>
      </c>
      <c r="F7" s="54"/>
      <c r="S7" s="53"/>
    </row>
    <row r="8" spans="2:19" ht="16.05" customHeight="1" x14ac:dyDescent="0.4">
      <c r="B8" s="51"/>
      <c r="C8" s="92"/>
      <c r="D8" s="55" t="s">
        <v>78</v>
      </c>
      <c r="E8" s="54"/>
      <c r="F8" s="54"/>
      <c r="S8" s="53"/>
    </row>
    <row r="9" spans="2:19" ht="16.05" customHeight="1" x14ac:dyDescent="0.4">
      <c r="B9" s="51"/>
      <c r="C9" s="92"/>
      <c r="D9" s="55" t="s">
        <v>102</v>
      </c>
      <c r="E9" s="54"/>
      <c r="F9" s="54"/>
      <c r="S9" s="53"/>
    </row>
    <row r="10" spans="2:19" ht="16.05" customHeight="1" x14ac:dyDescent="0.4">
      <c r="B10" s="51"/>
      <c r="C10" s="92"/>
      <c r="D10" s="55" t="s">
        <v>83</v>
      </c>
      <c r="F10" s="54"/>
      <c r="S10" s="53"/>
    </row>
    <row r="11" spans="2:19" ht="16.05" customHeight="1" x14ac:dyDescent="0.4">
      <c r="B11" s="51"/>
      <c r="C11" s="92"/>
      <c r="D11" s="54"/>
      <c r="E11" s="99" t="s">
        <v>84</v>
      </c>
      <c r="F11" s="100"/>
      <c r="G11" s="101"/>
      <c r="H11" s="101"/>
      <c r="I11" s="101"/>
      <c r="J11" s="101"/>
      <c r="K11" s="101"/>
      <c r="L11" s="101"/>
      <c r="M11" s="101"/>
      <c r="N11" s="101"/>
      <c r="O11" s="101"/>
      <c r="P11" s="101"/>
      <c r="Q11" s="101"/>
      <c r="R11" s="101"/>
      <c r="S11" s="53"/>
    </row>
    <row r="12" spans="2:19" ht="16.05" customHeight="1" x14ac:dyDescent="0.4">
      <c r="B12" s="51"/>
      <c r="C12" s="92"/>
      <c r="D12" s="54"/>
      <c r="E12" s="99" t="s">
        <v>80</v>
      </c>
      <c r="F12" s="100"/>
      <c r="G12" s="101"/>
      <c r="H12" s="101"/>
      <c r="I12" s="101"/>
      <c r="J12" s="101"/>
      <c r="K12" s="101"/>
      <c r="L12" s="101"/>
      <c r="M12" s="101"/>
      <c r="N12" s="101"/>
      <c r="O12" s="101"/>
      <c r="P12" s="101"/>
      <c r="Q12" s="101"/>
      <c r="R12" s="101"/>
      <c r="S12" s="53"/>
    </row>
    <row r="13" spans="2:19" ht="16.05" customHeight="1" x14ac:dyDescent="0.4">
      <c r="B13" s="51"/>
      <c r="C13" s="92"/>
      <c r="D13" s="54"/>
      <c r="E13" s="99" t="s">
        <v>81</v>
      </c>
      <c r="F13" s="100"/>
      <c r="G13" s="101"/>
      <c r="H13" s="101"/>
      <c r="I13" s="101"/>
      <c r="J13" s="101"/>
      <c r="K13" s="101"/>
      <c r="L13" s="101"/>
      <c r="M13" s="101"/>
      <c r="N13" s="101"/>
      <c r="O13" s="101"/>
      <c r="P13" s="101"/>
      <c r="Q13" s="101"/>
      <c r="R13" s="101"/>
      <c r="S13" s="53"/>
    </row>
    <row r="14" spans="2:19" ht="16.05" customHeight="1" x14ac:dyDescent="0.4">
      <c r="B14" s="51"/>
      <c r="C14" s="92"/>
      <c r="D14" s="54"/>
      <c r="E14" s="99" t="s">
        <v>82</v>
      </c>
      <c r="F14" s="100"/>
      <c r="G14" s="101"/>
      <c r="H14" s="101"/>
      <c r="I14" s="101"/>
      <c r="J14" s="101"/>
      <c r="K14" s="101"/>
      <c r="L14" s="101"/>
      <c r="M14" s="101"/>
      <c r="N14" s="101"/>
      <c r="O14" s="101"/>
      <c r="P14" s="101"/>
      <c r="Q14" s="101"/>
      <c r="R14" s="101"/>
      <c r="S14" s="53"/>
    </row>
    <row r="15" spans="2:19" ht="16.05" customHeight="1" x14ac:dyDescent="0.4">
      <c r="B15" s="51"/>
      <c r="C15" s="92"/>
      <c r="D15" s="54"/>
      <c r="E15" s="99" t="s">
        <v>85</v>
      </c>
      <c r="F15" s="100"/>
      <c r="G15" s="101"/>
      <c r="H15" s="101"/>
      <c r="I15" s="101"/>
      <c r="J15" s="101"/>
      <c r="K15" s="101"/>
      <c r="L15" s="101"/>
      <c r="M15" s="101"/>
      <c r="N15" s="101"/>
      <c r="O15" s="101"/>
      <c r="P15" s="101"/>
      <c r="Q15" s="101"/>
      <c r="R15" s="101"/>
      <c r="S15" s="53"/>
    </row>
    <row r="16" spans="2:19" ht="16.05" customHeight="1" x14ac:dyDescent="0.4">
      <c r="B16" s="51"/>
      <c r="C16" s="92"/>
      <c r="D16" s="54"/>
      <c r="E16" s="99" t="s">
        <v>86</v>
      </c>
      <c r="F16" s="100"/>
      <c r="G16" s="101"/>
      <c r="H16" s="101"/>
      <c r="I16" s="101"/>
      <c r="J16" s="101"/>
      <c r="K16" s="101"/>
      <c r="L16" s="101"/>
      <c r="M16" s="101"/>
      <c r="N16" s="101"/>
      <c r="O16" s="101"/>
      <c r="P16" s="101"/>
      <c r="Q16" s="101"/>
      <c r="R16" s="101"/>
      <c r="S16" s="53"/>
    </row>
    <row r="17" spans="2:19" ht="16.05" customHeight="1" x14ac:dyDescent="0.4">
      <c r="B17" s="51"/>
      <c r="C17" s="92"/>
      <c r="D17" s="54"/>
      <c r="E17" s="99" t="s">
        <v>88</v>
      </c>
      <c r="F17" s="100"/>
      <c r="G17" s="101"/>
      <c r="H17" s="101"/>
      <c r="I17" s="101"/>
      <c r="J17" s="101"/>
      <c r="K17" s="101"/>
      <c r="L17" s="101"/>
      <c r="M17" s="101"/>
      <c r="N17" s="101"/>
      <c r="O17" s="101"/>
      <c r="P17" s="101"/>
      <c r="Q17" s="101"/>
      <c r="R17" s="101"/>
      <c r="S17" s="53"/>
    </row>
    <row r="18" spans="2:19" ht="16.05" customHeight="1" x14ac:dyDescent="0.4">
      <c r="B18" s="51"/>
      <c r="C18" s="92"/>
      <c r="D18" s="54"/>
      <c r="E18" s="99" t="s">
        <v>87</v>
      </c>
      <c r="F18" s="100"/>
      <c r="G18" s="101"/>
      <c r="H18" s="101"/>
      <c r="I18" s="101"/>
      <c r="J18" s="101"/>
      <c r="K18" s="101"/>
      <c r="L18" s="101"/>
      <c r="M18" s="101"/>
      <c r="N18" s="101"/>
      <c r="O18" s="101"/>
      <c r="P18" s="101"/>
      <c r="Q18" s="101"/>
      <c r="R18" s="101"/>
      <c r="S18" s="53"/>
    </row>
    <row r="19" spans="2:19" ht="16.05" customHeight="1" x14ac:dyDescent="0.4">
      <c r="B19" s="51"/>
      <c r="C19" s="92"/>
      <c r="D19" s="54"/>
      <c r="E19" s="56"/>
      <c r="F19" s="54"/>
      <c r="S19" s="53"/>
    </row>
    <row r="20" spans="2:19" ht="16.05" customHeight="1" x14ac:dyDescent="0.4">
      <c r="B20" s="51"/>
      <c r="C20" s="92" t="s">
        <v>20</v>
      </c>
      <c r="D20" s="54" t="s">
        <v>46</v>
      </c>
      <c r="E20" s="54"/>
      <c r="F20" s="54"/>
      <c r="S20" s="53"/>
    </row>
    <row r="21" spans="2:19" ht="16.05" customHeight="1" x14ac:dyDescent="0.4">
      <c r="B21" s="51"/>
      <c r="C21" s="92"/>
      <c r="D21" s="55" t="s">
        <v>66</v>
      </c>
      <c r="E21" s="54"/>
      <c r="F21" s="54"/>
      <c r="S21" s="53"/>
    </row>
    <row r="22" spans="2:19" ht="16.05" customHeight="1" x14ac:dyDescent="0.4">
      <c r="B22" s="51"/>
      <c r="C22" s="92"/>
      <c r="D22" s="55" t="s">
        <v>69</v>
      </c>
      <c r="E22" s="54"/>
      <c r="F22" s="54"/>
      <c r="S22" s="53"/>
    </row>
    <row r="23" spans="2:19" ht="16.05" customHeight="1" x14ac:dyDescent="0.4">
      <c r="B23" s="51"/>
      <c r="C23" s="92"/>
      <c r="D23" s="55" t="s">
        <v>67</v>
      </c>
      <c r="E23" s="54"/>
      <c r="F23" s="54"/>
      <c r="S23" s="53"/>
    </row>
    <row r="24" spans="2:19" ht="16.05" customHeight="1" x14ac:dyDescent="0.4">
      <c r="B24" s="51"/>
      <c r="C24" s="92"/>
      <c r="D24" s="55" t="s">
        <v>68</v>
      </c>
      <c r="E24" s="54"/>
      <c r="F24" s="54"/>
      <c r="S24" s="53"/>
    </row>
    <row r="25" spans="2:19" ht="16.05" customHeight="1" x14ac:dyDescent="0.4">
      <c r="B25" s="51"/>
      <c r="C25" s="92"/>
      <c r="D25" s="55" t="s">
        <v>70</v>
      </c>
      <c r="E25" s="54"/>
      <c r="F25" s="54"/>
      <c r="S25" s="53"/>
    </row>
    <row r="26" spans="2:19" ht="16.05" customHeight="1" x14ac:dyDescent="0.4">
      <c r="B26" s="51"/>
      <c r="C26" s="92"/>
      <c r="D26" s="55" t="s">
        <v>99</v>
      </c>
      <c r="E26" s="54"/>
      <c r="F26" s="54"/>
      <c r="S26" s="53"/>
    </row>
    <row r="27" spans="2:19" ht="16.05" customHeight="1" x14ac:dyDescent="0.4">
      <c r="B27" s="51"/>
      <c r="C27" s="92"/>
      <c r="D27" s="54"/>
      <c r="E27" s="54"/>
      <c r="F27" s="54"/>
      <c r="S27" s="53"/>
    </row>
    <row r="28" spans="2:19" ht="16.05" customHeight="1" x14ac:dyDescent="0.4">
      <c r="B28" s="51"/>
      <c r="C28" s="92" t="s">
        <v>25</v>
      </c>
      <c r="D28" s="54" t="s">
        <v>47</v>
      </c>
      <c r="E28" s="54"/>
      <c r="F28" s="54"/>
      <c r="S28" s="53"/>
    </row>
    <row r="29" spans="2:19" ht="16.05" customHeight="1" x14ac:dyDescent="0.4">
      <c r="B29" s="51"/>
      <c r="C29" s="92"/>
      <c r="D29" s="56" t="s">
        <v>71</v>
      </c>
      <c r="E29" s="54"/>
      <c r="F29" s="54"/>
      <c r="S29" s="53"/>
    </row>
    <row r="30" spans="2:19" ht="16.05" customHeight="1" x14ac:dyDescent="0.4">
      <c r="B30" s="51"/>
      <c r="C30" s="92"/>
      <c r="D30" s="56" t="s">
        <v>72</v>
      </c>
      <c r="E30" s="54"/>
      <c r="F30" s="54"/>
      <c r="S30" s="53"/>
    </row>
    <row r="31" spans="2:19" ht="16.05" customHeight="1" x14ac:dyDescent="0.4">
      <c r="B31" s="51"/>
      <c r="C31" s="92"/>
      <c r="D31" s="54"/>
      <c r="E31" s="54"/>
      <c r="F31" s="54"/>
      <c r="S31" s="53"/>
    </row>
    <row r="32" spans="2:19" ht="16.05" customHeight="1" x14ac:dyDescent="0.4">
      <c r="B32" s="51"/>
      <c r="C32" s="92" t="s">
        <v>26</v>
      </c>
      <c r="D32" s="54" t="s">
        <v>48</v>
      </c>
      <c r="E32" s="54"/>
      <c r="F32" s="54"/>
      <c r="S32" s="53"/>
    </row>
    <row r="33" spans="2:19" ht="16.05" customHeight="1" x14ac:dyDescent="0.4">
      <c r="B33" s="51"/>
      <c r="D33" s="55" t="s">
        <v>30</v>
      </c>
      <c r="E33" s="55"/>
      <c r="F33" s="55"/>
      <c r="G33" s="55"/>
      <c r="H33" s="55"/>
      <c r="I33" s="55"/>
      <c r="J33" s="55"/>
      <c r="K33" s="55"/>
      <c r="L33" s="55"/>
      <c r="M33" s="55"/>
      <c r="N33" s="55"/>
      <c r="O33" s="55"/>
      <c r="P33" s="55"/>
      <c r="Q33" s="55"/>
      <c r="R33" s="55"/>
      <c r="S33" s="53"/>
    </row>
    <row r="34" spans="2:19" ht="16.05" customHeight="1" x14ac:dyDescent="0.4">
      <c r="B34" s="51"/>
      <c r="D34" s="55" t="s">
        <v>29</v>
      </c>
      <c r="E34" s="55"/>
      <c r="F34" s="55"/>
      <c r="G34" s="55"/>
      <c r="H34" s="55"/>
      <c r="I34" s="55"/>
      <c r="J34" s="55"/>
      <c r="K34" s="55"/>
      <c r="L34" s="55"/>
      <c r="M34" s="55"/>
      <c r="N34" s="55"/>
      <c r="O34" s="55"/>
      <c r="P34" s="55"/>
      <c r="Q34" s="55"/>
      <c r="R34" s="55"/>
      <c r="S34" s="53"/>
    </row>
    <row r="35" spans="2:19" ht="16.05" customHeight="1" x14ac:dyDescent="0.4">
      <c r="B35" s="51"/>
      <c r="D35" s="55" t="s">
        <v>100</v>
      </c>
      <c r="E35" s="55"/>
      <c r="F35" s="55"/>
      <c r="G35" s="55"/>
      <c r="H35" s="55"/>
      <c r="I35" s="55"/>
      <c r="J35" s="55"/>
      <c r="K35" s="55"/>
      <c r="L35" s="55"/>
      <c r="M35" s="55"/>
      <c r="N35" s="55"/>
      <c r="O35" s="55"/>
      <c r="P35" s="55"/>
      <c r="Q35" s="55"/>
      <c r="R35" s="55"/>
      <c r="S35" s="53"/>
    </row>
    <row r="36" spans="2:19" ht="16.05" customHeight="1" x14ac:dyDescent="0.4">
      <c r="B36" s="51"/>
      <c r="D36" s="55" t="s">
        <v>31</v>
      </c>
      <c r="E36" s="55"/>
      <c r="F36" s="55"/>
      <c r="G36" s="55"/>
      <c r="H36" s="55"/>
      <c r="I36" s="55"/>
      <c r="J36" s="55"/>
      <c r="K36" s="55"/>
      <c r="L36" s="55"/>
      <c r="M36" s="55"/>
      <c r="N36" s="55"/>
      <c r="O36" s="55"/>
      <c r="P36" s="55"/>
      <c r="Q36" s="55"/>
      <c r="R36" s="55"/>
      <c r="S36" s="53"/>
    </row>
    <row r="37" spans="2:19" ht="16.05" customHeight="1" x14ac:dyDescent="0.4">
      <c r="B37" s="51"/>
      <c r="D37" s="55" t="s">
        <v>32</v>
      </c>
      <c r="E37" s="55"/>
      <c r="F37" s="55"/>
      <c r="G37" s="55"/>
      <c r="H37" s="55"/>
      <c r="I37" s="55"/>
      <c r="J37" s="55"/>
      <c r="K37" s="55"/>
      <c r="L37" s="55"/>
      <c r="M37" s="55"/>
      <c r="N37" s="55"/>
      <c r="O37" s="55"/>
      <c r="P37" s="55"/>
      <c r="Q37" s="55"/>
      <c r="R37" s="55"/>
      <c r="S37" s="53"/>
    </row>
    <row r="38" spans="2:19" ht="16.05" customHeight="1" x14ac:dyDescent="0.4">
      <c r="B38" s="51"/>
      <c r="D38" s="55" t="s">
        <v>77</v>
      </c>
      <c r="E38" s="55"/>
      <c r="F38" s="55"/>
      <c r="G38" s="55"/>
      <c r="H38" s="55"/>
      <c r="I38" s="55"/>
      <c r="J38" s="55"/>
      <c r="K38" s="55"/>
      <c r="L38" s="55"/>
      <c r="M38" s="55"/>
      <c r="N38" s="55"/>
      <c r="O38" s="55"/>
      <c r="P38" s="55"/>
      <c r="Q38" s="55"/>
      <c r="R38" s="55"/>
      <c r="S38" s="53"/>
    </row>
    <row r="39" spans="2:19" ht="16.05" customHeight="1" x14ac:dyDescent="0.4">
      <c r="B39" s="51"/>
      <c r="D39" s="55"/>
      <c r="E39" s="56" t="s">
        <v>73</v>
      </c>
      <c r="F39" s="55"/>
      <c r="G39" s="55"/>
      <c r="H39" s="55"/>
      <c r="I39" s="55"/>
      <c r="J39" s="55"/>
      <c r="K39" s="55"/>
      <c r="L39" s="55"/>
      <c r="M39" s="55"/>
      <c r="N39" s="55"/>
      <c r="O39" s="55"/>
      <c r="P39" s="55"/>
      <c r="Q39" s="55"/>
      <c r="R39" s="55"/>
      <c r="S39" s="53"/>
    </row>
    <row r="40" spans="2:19" ht="16.05" customHeight="1" x14ac:dyDescent="0.4">
      <c r="B40" s="51"/>
      <c r="D40" s="56" t="s">
        <v>75</v>
      </c>
      <c r="E40" s="56" t="s">
        <v>74</v>
      </c>
      <c r="F40" s="55"/>
      <c r="G40" s="55"/>
      <c r="H40" s="55"/>
      <c r="I40" s="55"/>
      <c r="J40" s="55"/>
      <c r="K40" s="55"/>
      <c r="L40" s="55"/>
      <c r="M40" s="55"/>
      <c r="N40" s="55"/>
      <c r="O40" s="55"/>
      <c r="P40" s="55"/>
      <c r="Q40" s="55"/>
      <c r="R40" s="55"/>
      <c r="S40" s="53"/>
    </row>
    <row r="41" spans="2:19" ht="16.05" customHeight="1" thickBot="1" x14ac:dyDescent="0.45">
      <c r="B41" s="57"/>
      <c r="C41" s="95"/>
      <c r="D41" s="58"/>
      <c r="E41" s="58"/>
      <c r="F41" s="58"/>
      <c r="G41" s="58"/>
      <c r="H41" s="58"/>
      <c r="I41" s="58"/>
      <c r="J41" s="58"/>
      <c r="K41" s="58"/>
      <c r="L41" s="58"/>
      <c r="M41" s="58"/>
      <c r="N41" s="58"/>
      <c r="O41" s="58"/>
      <c r="P41" s="58"/>
      <c r="Q41" s="58"/>
      <c r="R41" s="58"/>
      <c r="S41" s="96"/>
    </row>
    <row r="42" spans="2:19" ht="16.05" customHeight="1" x14ac:dyDescent="0.4">
      <c r="D42" s="55"/>
      <c r="E42" s="55"/>
      <c r="F42" s="55"/>
      <c r="G42" s="55"/>
      <c r="H42" s="55"/>
      <c r="I42" s="55"/>
      <c r="J42" s="55"/>
      <c r="K42" s="55"/>
      <c r="L42" s="55"/>
      <c r="M42" s="55"/>
      <c r="N42" s="55"/>
      <c r="O42" s="55"/>
      <c r="P42" s="55"/>
      <c r="Q42" s="55"/>
      <c r="R42" s="55"/>
    </row>
    <row r="43" spans="2:19" ht="26.65" customHeight="1" x14ac:dyDescent="0.4">
      <c r="D43" s="55"/>
      <c r="E43" s="55"/>
      <c r="F43" s="55"/>
      <c r="G43" s="55"/>
      <c r="H43" s="55"/>
      <c r="I43" s="55"/>
      <c r="J43" s="55"/>
      <c r="K43" s="55"/>
      <c r="L43" s="55"/>
      <c r="M43" s="55"/>
      <c r="N43" s="55"/>
      <c r="O43" s="55"/>
      <c r="P43" s="55"/>
      <c r="Q43" s="55"/>
      <c r="R43" s="55"/>
    </row>
  </sheetData>
  <mergeCells count="1">
    <mergeCell ref="D2:R2"/>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2E168-39A5-4C5F-94CA-A7D34CFAB803}">
  <dimension ref="B2:Q20"/>
  <sheetViews>
    <sheetView zoomScaleNormal="100" workbookViewId="0">
      <selection activeCell="F11" sqref="F11"/>
    </sheetView>
  </sheetViews>
  <sheetFormatPr defaultRowHeight="13.9" x14ac:dyDescent="0.4"/>
  <cols>
    <col min="1" max="1" width="3" customWidth="1"/>
    <col min="2" max="2" width="4.3984375" customWidth="1"/>
    <col min="3" max="3" width="34.46484375" customWidth="1"/>
    <col min="4" max="4" width="9.46484375" style="1" bestFit="1" customWidth="1"/>
    <col min="16" max="16" width="1.19921875" style="2" customWidth="1"/>
  </cols>
  <sheetData>
    <row r="2" spans="2:17" ht="32.25" customHeight="1" thickBot="1" x14ac:dyDescent="0.45">
      <c r="C2" s="33" t="s">
        <v>65</v>
      </c>
    </row>
    <row r="3" spans="2:17" ht="14.25" thickBot="1" x14ac:dyDescent="0.45">
      <c r="B3" s="34" t="s">
        <v>0</v>
      </c>
      <c r="C3" s="35" t="s">
        <v>1</v>
      </c>
      <c r="D3" s="36" t="s">
        <v>6</v>
      </c>
      <c r="E3" s="35" t="s">
        <v>7</v>
      </c>
      <c r="F3" s="35" t="s">
        <v>8</v>
      </c>
      <c r="G3" s="35" t="s">
        <v>9</v>
      </c>
      <c r="H3" s="35" t="s">
        <v>10</v>
      </c>
      <c r="I3" s="35" t="s">
        <v>11</v>
      </c>
      <c r="J3" s="35" t="s">
        <v>12</v>
      </c>
      <c r="K3" s="35" t="s">
        <v>13</v>
      </c>
      <c r="L3" s="35" t="s">
        <v>14</v>
      </c>
      <c r="M3" s="35" t="s">
        <v>15</v>
      </c>
      <c r="N3" s="35" t="s">
        <v>16</v>
      </c>
      <c r="O3" s="35" t="s">
        <v>17</v>
      </c>
      <c r="P3" s="105"/>
      <c r="Q3" s="37" t="s">
        <v>28</v>
      </c>
    </row>
    <row r="4" spans="2:17" ht="14.25" thickTop="1" x14ac:dyDescent="0.4">
      <c r="B4" s="26" t="s">
        <v>19</v>
      </c>
      <c r="C4" s="11" t="s">
        <v>64</v>
      </c>
      <c r="D4" s="19" t="e">
        <f>SUM(D5:D14)</f>
        <v>#DIV/0!</v>
      </c>
      <c r="E4" s="19" t="e">
        <f t="shared" ref="E4:N4" si="0">SUM(E5:E14)</f>
        <v>#DIV/0!</v>
      </c>
      <c r="F4" s="19" t="e">
        <f t="shared" si="0"/>
        <v>#DIV/0!</v>
      </c>
      <c r="G4" s="19" t="e">
        <f t="shared" si="0"/>
        <v>#DIV/0!</v>
      </c>
      <c r="H4" s="19" t="e">
        <f t="shared" si="0"/>
        <v>#DIV/0!</v>
      </c>
      <c r="I4" s="19" t="e">
        <f t="shared" si="0"/>
        <v>#DIV/0!</v>
      </c>
      <c r="J4" s="19" t="e">
        <f t="shared" si="0"/>
        <v>#DIV/0!</v>
      </c>
      <c r="K4" s="19" t="e">
        <f t="shared" si="0"/>
        <v>#DIV/0!</v>
      </c>
      <c r="L4" s="19" t="e">
        <f t="shared" si="0"/>
        <v>#DIV/0!</v>
      </c>
      <c r="M4" s="19" t="e">
        <f t="shared" si="0"/>
        <v>#DIV/0!</v>
      </c>
      <c r="N4" s="19" t="e">
        <f t="shared" si="0"/>
        <v>#DIV/0!</v>
      </c>
      <c r="O4" s="19" t="e">
        <f>SUM(O5:O14)</f>
        <v>#DIV/0!</v>
      </c>
      <c r="P4" s="106"/>
      <c r="Q4" s="38">
        <f>SUM(Q5:Q14)</f>
        <v>0</v>
      </c>
    </row>
    <row r="5" spans="2:17" s="18" customFormat="1" x14ac:dyDescent="0.4">
      <c r="B5" s="39"/>
      <c r="C5" s="12" t="s">
        <v>22</v>
      </c>
      <c r="D5" s="97" t="e">
        <f>项目1!D34</f>
        <v>#DIV/0!</v>
      </c>
      <c r="E5" s="97" t="e">
        <f>项目1!E34</f>
        <v>#DIV/0!</v>
      </c>
      <c r="F5" s="97" t="e">
        <f>项目1!F34</f>
        <v>#DIV/0!</v>
      </c>
      <c r="G5" s="97" t="e">
        <f>项目1!G34</f>
        <v>#DIV/0!</v>
      </c>
      <c r="H5" s="97" t="e">
        <f>项目1!H34</f>
        <v>#DIV/0!</v>
      </c>
      <c r="I5" s="97" t="e">
        <f>项目1!I34</f>
        <v>#DIV/0!</v>
      </c>
      <c r="J5" s="97" t="e">
        <f>项目1!J34</f>
        <v>#DIV/0!</v>
      </c>
      <c r="K5" s="97" t="e">
        <f>项目1!K34</f>
        <v>#DIV/0!</v>
      </c>
      <c r="L5" s="97" t="e">
        <f>项目1!L34</f>
        <v>#DIV/0!</v>
      </c>
      <c r="M5" s="97" t="e">
        <f>项目1!M34</f>
        <v>#DIV/0!</v>
      </c>
      <c r="N5" s="97" t="e">
        <f>项目1!N34</f>
        <v>#DIV/0!</v>
      </c>
      <c r="O5" s="97" t="e">
        <f>项目1!O34</f>
        <v>#DIV/0!</v>
      </c>
      <c r="P5" s="106"/>
      <c r="Q5" s="40">
        <f>项目1!Q20</f>
        <v>0</v>
      </c>
    </row>
    <row r="6" spans="2:17" s="2" customFormat="1" x14ac:dyDescent="0.4">
      <c r="B6" s="41"/>
      <c r="C6" s="12" t="s">
        <v>23</v>
      </c>
      <c r="D6" s="97" t="e">
        <f>项目2!D34</f>
        <v>#DIV/0!</v>
      </c>
      <c r="E6" s="97" t="e">
        <f>项目2!E34</f>
        <v>#DIV/0!</v>
      </c>
      <c r="F6" s="97" t="e">
        <f>项目2!F34</f>
        <v>#DIV/0!</v>
      </c>
      <c r="G6" s="97" t="e">
        <f>项目2!G34</f>
        <v>#DIV/0!</v>
      </c>
      <c r="H6" s="97" t="e">
        <f>项目2!H34</f>
        <v>#DIV/0!</v>
      </c>
      <c r="I6" s="97" t="e">
        <f>项目2!I34</f>
        <v>#DIV/0!</v>
      </c>
      <c r="J6" s="97" t="e">
        <f>项目2!J34</f>
        <v>#DIV/0!</v>
      </c>
      <c r="K6" s="97" t="e">
        <f>项目2!K34</f>
        <v>#DIV/0!</v>
      </c>
      <c r="L6" s="97" t="e">
        <f>项目2!L34</f>
        <v>#DIV/0!</v>
      </c>
      <c r="M6" s="97" t="e">
        <f>项目2!M34</f>
        <v>#DIV/0!</v>
      </c>
      <c r="N6" s="97" t="e">
        <f>项目2!N34</f>
        <v>#DIV/0!</v>
      </c>
      <c r="O6" s="97" t="e">
        <f>项目2!O34</f>
        <v>#DIV/0!</v>
      </c>
      <c r="P6" s="106"/>
      <c r="Q6" s="42">
        <f>项目2!Q22</f>
        <v>0</v>
      </c>
    </row>
    <row r="7" spans="2:17" s="2" customFormat="1" x14ac:dyDescent="0.4">
      <c r="B7" s="41"/>
      <c r="C7" s="12" t="s">
        <v>24</v>
      </c>
      <c r="D7" s="97"/>
      <c r="E7" s="97"/>
      <c r="F7" s="97"/>
      <c r="G7" s="97"/>
      <c r="H7" s="97"/>
      <c r="I7" s="97"/>
      <c r="J7" s="97"/>
      <c r="K7" s="97"/>
      <c r="L7" s="97"/>
      <c r="M7" s="97"/>
      <c r="N7" s="97"/>
      <c r="O7" s="97"/>
      <c r="P7" s="106"/>
      <c r="Q7" s="42">
        <f t="shared" ref="Q7:Q14" si="1">SUM(D7:O7)</f>
        <v>0</v>
      </c>
    </row>
    <row r="8" spans="2:17" s="2" customFormat="1" x14ac:dyDescent="0.4">
      <c r="B8" s="43"/>
      <c r="C8" s="12" t="s">
        <v>33</v>
      </c>
      <c r="D8" s="97"/>
      <c r="E8" s="97"/>
      <c r="F8" s="97"/>
      <c r="G8" s="97"/>
      <c r="H8" s="97"/>
      <c r="I8" s="97"/>
      <c r="J8" s="97"/>
      <c r="K8" s="97"/>
      <c r="L8" s="97"/>
      <c r="M8" s="97"/>
      <c r="N8" s="97"/>
      <c r="O8" s="97"/>
      <c r="P8" s="106"/>
      <c r="Q8" s="42">
        <f t="shared" si="1"/>
        <v>0</v>
      </c>
    </row>
    <row r="9" spans="2:17" s="2" customFormat="1" x14ac:dyDescent="0.4">
      <c r="B9" s="44"/>
      <c r="C9" s="12" t="s">
        <v>34</v>
      </c>
      <c r="D9" s="97"/>
      <c r="E9" s="97"/>
      <c r="F9" s="97"/>
      <c r="G9" s="97"/>
      <c r="H9" s="97"/>
      <c r="I9" s="97"/>
      <c r="J9" s="97"/>
      <c r="K9" s="97"/>
      <c r="L9" s="97"/>
      <c r="M9" s="97"/>
      <c r="N9" s="97"/>
      <c r="O9" s="97"/>
      <c r="P9" s="106"/>
      <c r="Q9" s="42">
        <f t="shared" si="1"/>
        <v>0</v>
      </c>
    </row>
    <row r="10" spans="2:17" s="2" customFormat="1" x14ac:dyDescent="0.4">
      <c r="B10" s="41"/>
      <c r="C10" s="12" t="s">
        <v>35</v>
      </c>
      <c r="D10" s="98"/>
      <c r="E10" s="98"/>
      <c r="F10" s="98"/>
      <c r="G10" s="98"/>
      <c r="H10" s="98"/>
      <c r="I10" s="98"/>
      <c r="J10" s="98"/>
      <c r="K10" s="98"/>
      <c r="L10" s="98"/>
      <c r="M10" s="98"/>
      <c r="N10" s="98"/>
      <c r="O10" s="98"/>
      <c r="P10" s="106"/>
      <c r="Q10" s="42">
        <f t="shared" si="1"/>
        <v>0</v>
      </c>
    </row>
    <row r="11" spans="2:17" s="2" customFormat="1" x14ac:dyDescent="0.4">
      <c r="B11" s="41"/>
      <c r="C11" s="12" t="s">
        <v>36</v>
      </c>
      <c r="D11" s="97"/>
      <c r="E11" s="97"/>
      <c r="F11" s="97"/>
      <c r="G11" s="97"/>
      <c r="H11" s="97"/>
      <c r="I11" s="97"/>
      <c r="J11" s="97"/>
      <c r="K11" s="97"/>
      <c r="L11" s="97"/>
      <c r="M11" s="97"/>
      <c r="N11" s="97"/>
      <c r="O11" s="97"/>
      <c r="P11" s="106"/>
      <c r="Q11" s="42">
        <f t="shared" si="1"/>
        <v>0</v>
      </c>
    </row>
    <row r="12" spans="2:17" s="2" customFormat="1" x14ac:dyDescent="0.4">
      <c r="B12" s="41"/>
      <c r="C12" s="12" t="s">
        <v>37</v>
      </c>
      <c r="D12" s="97"/>
      <c r="E12" s="97"/>
      <c r="F12" s="97"/>
      <c r="G12" s="97"/>
      <c r="H12" s="97"/>
      <c r="I12" s="97"/>
      <c r="J12" s="97"/>
      <c r="K12" s="97"/>
      <c r="L12" s="97"/>
      <c r="M12" s="97"/>
      <c r="N12" s="97"/>
      <c r="O12" s="97"/>
      <c r="P12" s="106"/>
      <c r="Q12" s="42">
        <f t="shared" si="1"/>
        <v>0</v>
      </c>
    </row>
    <row r="13" spans="2:17" s="2" customFormat="1" x14ac:dyDescent="0.4">
      <c r="B13" s="41"/>
      <c r="C13" s="12" t="s">
        <v>38</v>
      </c>
      <c r="D13" s="97"/>
      <c r="E13" s="97"/>
      <c r="F13" s="97"/>
      <c r="G13" s="97"/>
      <c r="H13" s="97"/>
      <c r="I13" s="97"/>
      <c r="J13" s="97"/>
      <c r="K13" s="97"/>
      <c r="L13" s="97"/>
      <c r="M13" s="97"/>
      <c r="N13" s="97"/>
      <c r="O13" s="97"/>
      <c r="P13" s="106"/>
      <c r="Q13" s="42">
        <f t="shared" si="1"/>
        <v>0</v>
      </c>
    </row>
    <row r="14" spans="2:17" s="2" customFormat="1" x14ac:dyDescent="0.4">
      <c r="B14" s="41"/>
      <c r="C14" s="12" t="s">
        <v>39</v>
      </c>
      <c r="D14" s="97"/>
      <c r="E14" s="97"/>
      <c r="F14" s="97"/>
      <c r="G14" s="97"/>
      <c r="H14" s="97"/>
      <c r="I14" s="97"/>
      <c r="J14" s="97"/>
      <c r="K14" s="97"/>
      <c r="L14" s="97"/>
      <c r="M14" s="97"/>
      <c r="N14" s="97"/>
      <c r="O14" s="97"/>
      <c r="P14" s="106"/>
      <c r="Q14" s="42">
        <f t="shared" si="1"/>
        <v>0</v>
      </c>
    </row>
    <row r="15" spans="2:17" s="2" customFormat="1" x14ac:dyDescent="0.4">
      <c r="B15" s="26" t="s">
        <v>20</v>
      </c>
      <c r="C15" s="4" t="s">
        <v>53</v>
      </c>
      <c r="D15" s="22">
        <v>300</v>
      </c>
      <c r="E15" s="22">
        <v>300</v>
      </c>
      <c r="F15" s="22">
        <v>300</v>
      </c>
      <c r="G15" s="22">
        <v>300</v>
      </c>
      <c r="H15" s="22">
        <v>300</v>
      </c>
      <c r="I15" s="22">
        <v>300</v>
      </c>
      <c r="J15" s="22">
        <v>300</v>
      </c>
      <c r="K15" s="22">
        <v>300</v>
      </c>
      <c r="L15" s="22">
        <v>300</v>
      </c>
      <c r="M15" s="22">
        <v>300</v>
      </c>
      <c r="N15" s="22">
        <v>300</v>
      </c>
      <c r="O15" s="22">
        <v>300</v>
      </c>
      <c r="P15" s="106"/>
      <c r="Q15" s="45">
        <f>SUM(D15:O15)</f>
        <v>3600</v>
      </c>
    </row>
    <row r="16" spans="2:17" x14ac:dyDescent="0.4">
      <c r="B16" s="26" t="s">
        <v>25</v>
      </c>
      <c r="C16" s="4" t="s">
        <v>55</v>
      </c>
      <c r="D16" s="20" t="e">
        <f>D4+D15</f>
        <v>#DIV/0!</v>
      </c>
      <c r="E16" s="20" t="e">
        <f>E4+E15</f>
        <v>#DIV/0!</v>
      </c>
      <c r="F16" s="21"/>
      <c r="G16" s="21"/>
      <c r="H16" s="21"/>
      <c r="I16" s="21"/>
      <c r="J16" s="21"/>
      <c r="K16" s="21"/>
      <c r="L16" s="21"/>
      <c r="M16" s="21"/>
      <c r="N16" s="21"/>
      <c r="O16" s="21"/>
      <c r="P16" s="106"/>
      <c r="Q16" s="46"/>
    </row>
    <row r="17" spans="2:17" x14ac:dyDescent="0.4">
      <c r="B17" s="26" t="s">
        <v>26</v>
      </c>
      <c r="C17" s="4" t="s">
        <v>63</v>
      </c>
      <c r="D17" s="108"/>
      <c r="E17" s="109"/>
      <c r="F17" s="109"/>
      <c r="G17" s="109"/>
      <c r="H17" s="109"/>
      <c r="I17" s="109"/>
      <c r="J17" s="109"/>
      <c r="K17" s="109"/>
      <c r="L17" s="109"/>
      <c r="M17" s="109"/>
      <c r="N17" s="109"/>
      <c r="O17" s="110"/>
      <c r="P17" s="106"/>
      <c r="Q17" s="47">
        <f>Q4+Q15</f>
        <v>3600</v>
      </c>
    </row>
    <row r="18" spans="2:17" x14ac:dyDescent="0.4">
      <c r="B18" s="26" t="s">
        <v>27</v>
      </c>
      <c r="C18" s="4" t="s">
        <v>54</v>
      </c>
      <c r="D18" s="20">
        <v>200</v>
      </c>
      <c r="E18" s="20">
        <v>201</v>
      </c>
      <c r="F18" s="21"/>
      <c r="G18" s="21"/>
      <c r="H18" s="21"/>
      <c r="I18" s="21"/>
      <c r="J18" s="21"/>
      <c r="K18" s="21"/>
      <c r="L18" s="21"/>
      <c r="M18" s="21"/>
      <c r="N18" s="21"/>
      <c r="O18" s="21"/>
      <c r="P18" s="106"/>
      <c r="Q18" s="47">
        <f>SUM(D18:O18)</f>
        <v>401</v>
      </c>
    </row>
    <row r="19" spans="2:17" ht="14.25" thickBot="1" x14ac:dyDescent="0.45">
      <c r="B19" s="30" t="s">
        <v>61</v>
      </c>
      <c r="C19" s="31" t="s">
        <v>50</v>
      </c>
      <c r="D19" s="48" t="e">
        <f>D16-D18</f>
        <v>#DIV/0!</v>
      </c>
      <c r="E19" s="48" t="e">
        <f>E16-E18</f>
        <v>#DIV/0!</v>
      </c>
      <c r="F19" s="48">
        <f t="shared" ref="F19:O19" si="2">F16-F18</f>
        <v>0</v>
      </c>
      <c r="G19" s="48">
        <f t="shared" si="2"/>
        <v>0</v>
      </c>
      <c r="H19" s="48">
        <f t="shared" si="2"/>
        <v>0</v>
      </c>
      <c r="I19" s="48">
        <f t="shared" si="2"/>
        <v>0</v>
      </c>
      <c r="J19" s="48">
        <f t="shared" si="2"/>
        <v>0</v>
      </c>
      <c r="K19" s="48">
        <f t="shared" si="2"/>
        <v>0</v>
      </c>
      <c r="L19" s="48">
        <f t="shared" si="2"/>
        <v>0</v>
      </c>
      <c r="M19" s="48">
        <f t="shared" si="2"/>
        <v>0</v>
      </c>
      <c r="N19" s="48">
        <f t="shared" si="2"/>
        <v>0</v>
      </c>
      <c r="O19" s="48">
        <f t="shared" si="2"/>
        <v>0</v>
      </c>
      <c r="P19" s="107"/>
      <c r="Q19" s="49">
        <f>Q17-Q18</f>
        <v>3199</v>
      </c>
    </row>
    <row r="20" spans="2:17" x14ac:dyDescent="0.4">
      <c r="D20" s="3"/>
    </row>
  </sheetData>
  <mergeCells count="2">
    <mergeCell ref="P3:P19"/>
    <mergeCell ref="D17:O17"/>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E2CF8-A042-4415-AD46-7C54CA9A0BEA}">
  <dimension ref="B1:Q39"/>
  <sheetViews>
    <sheetView topLeftCell="A16" workbookViewId="0">
      <selection activeCell="D18" sqref="D18:P18"/>
    </sheetView>
  </sheetViews>
  <sheetFormatPr defaultRowHeight="13.9" x14ac:dyDescent="0.4"/>
  <cols>
    <col min="1" max="1" width="3.265625" customWidth="1"/>
    <col min="2" max="2" width="6.3984375" customWidth="1"/>
    <col min="3" max="3" width="35.53125" customWidth="1"/>
    <col min="9" max="9" width="9.9296875" bestFit="1" customWidth="1"/>
    <col min="14" max="14" width="9.33203125" customWidth="1"/>
    <col min="16" max="16" width="10.59765625" style="1" bestFit="1" customWidth="1"/>
    <col min="17" max="17" width="16.6640625" style="78" customWidth="1"/>
  </cols>
  <sheetData>
    <row r="1" spans="2:17" ht="14.25" thickBot="1" x14ac:dyDescent="0.45"/>
    <row r="2" spans="2:17" ht="14.25" thickBot="1" x14ac:dyDescent="0.45">
      <c r="C2" s="63" t="s">
        <v>95</v>
      </c>
      <c r="D2" s="114" t="s">
        <v>59</v>
      </c>
      <c r="E2" s="115"/>
      <c r="F2" s="115"/>
      <c r="G2" s="115"/>
      <c r="H2" s="115"/>
      <c r="I2" s="115"/>
      <c r="J2" s="115"/>
      <c r="K2" s="115"/>
      <c r="L2" s="115"/>
      <c r="M2" s="115"/>
      <c r="N2" s="115"/>
      <c r="O2" s="115"/>
      <c r="P2" s="116"/>
    </row>
    <row r="3" spans="2:17" ht="20.65" customHeight="1" thickBot="1" x14ac:dyDescent="0.45">
      <c r="B3" s="23" t="s">
        <v>0</v>
      </c>
      <c r="C3" s="24" t="s">
        <v>1</v>
      </c>
      <c r="D3" s="25" t="s">
        <v>6</v>
      </c>
      <c r="E3" s="24" t="s">
        <v>7</v>
      </c>
      <c r="F3" s="24" t="s">
        <v>8</v>
      </c>
      <c r="G3" s="24" t="s">
        <v>9</v>
      </c>
      <c r="H3" s="24" t="s">
        <v>10</v>
      </c>
      <c r="I3" s="24" t="s">
        <v>11</v>
      </c>
      <c r="J3" s="24" t="s">
        <v>12</v>
      </c>
      <c r="K3" s="24" t="s">
        <v>13</v>
      </c>
      <c r="L3" s="24" t="s">
        <v>14</v>
      </c>
      <c r="M3" s="24" t="s">
        <v>15</v>
      </c>
      <c r="N3" s="24" t="s">
        <v>16</v>
      </c>
      <c r="O3" s="24" t="s">
        <v>17</v>
      </c>
      <c r="P3" s="25" t="s">
        <v>60</v>
      </c>
      <c r="Q3" s="79" t="s">
        <v>58</v>
      </c>
    </row>
    <row r="4" spans="2:17" ht="14.25" thickTop="1" x14ac:dyDescent="0.4">
      <c r="B4" s="26"/>
      <c r="C4" s="11" t="s">
        <v>52</v>
      </c>
      <c r="D4" s="117"/>
      <c r="E4" s="118"/>
      <c r="F4" s="118"/>
      <c r="G4" s="118"/>
      <c r="H4" s="118"/>
      <c r="I4" s="118"/>
      <c r="J4" s="118"/>
      <c r="K4" s="118"/>
      <c r="L4" s="118"/>
      <c r="M4" s="118"/>
      <c r="N4" s="118"/>
      <c r="O4" s="118"/>
      <c r="P4" s="118"/>
      <c r="Q4" s="80"/>
    </row>
    <row r="5" spans="2:17" x14ac:dyDescent="0.4">
      <c r="B5" s="59" t="s">
        <v>19</v>
      </c>
      <c r="C5" s="60" t="s">
        <v>90</v>
      </c>
      <c r="D5" s="119"/>
      <c r="E5" s="120"/>
      <c r="F5" s="120"/>
      <c r="G5" s="120"/>
      <c r="H5" s="120"/>
      <c r="I5" s="120"/>
      <c r="J5" s="120"/>
      <c r="K5" s="120"/>
      <c r="L5" s="120"/>
      <c r="M5" s="120"/>
      <c r="N5" s="120"/>
      <c r="O5" s="120"/>
      <c r="P5" s="120"/>
      <c r="Q5" s="81"/>
    </row>
    <row r="6" spans="2:17" x14ac:dyDescent="0.4">
      <c r="B6" s="27">
        <v>1</v>
      </c>
      <c r="C6" s="4" t="s">
        <v>96</v>
      </c>
      <c r="D6" s="5">
        <f>D7+D8</f>
        <v>1500</v>
      </c>
      <c r="E6" s="5">
        <f>E7+E8</f>
        <v>2000</v>
      </c>
      <c r="F6" s="5">
        <f t="shared" ref="F6:O6" si="0">F7+F8</f>
        <v>3000</v>
      </c>
      <c r="G6" s="5">
        <f t="shared" si="0"/>
        <v>5000</v>
      </c>
      <c r="H6" s="5">
        <f t="shared" si="0"/>
        <v>6000</v>
      </c>
      <c r="I6" s="5">
        <f t="shared" si="0"/>
        <v>2000</v>
      </c>
      <c r="J6" s="5">
        <f t="shared" si="0"/>
        <v>4000</v>
      </c>
      <c r="K6" s="5">
        <f t="shared" si="0"/>
        <v>3000</v>
      </c>
      <c r="L6" s="5">
        <f t="shared" si="0"/>
        <v>5000</v>
      </c>
      <c r="M6" s="5">
        <f t="shared" si="0"/>
        <v>6000</v>
      </c>
      <c r="N6" s="5">
        <f t="shared" si="0"/>
        <v>3000</v>
      </c>
      <c r="O6" s="5">
        <f t="shared" si="0"/>
        <v>4000</v>
      </c>
      <c r="P6" s="5">
        <f>SUM(D6:O6)</f>
        <v>44500</v>
      </c>
      <c r="Q6" s="77">
        <f>P6</f>
        <v>44500</v>
      </c>
    </row>
    <row r="7" spans="2:17" x14ac:dyDescent="0.4">
      <c r="B7" s="61"/>
      <c r="C7" s="12" t="s">
        <v>97</v>
      </c>
      <c r="D7" s="72">
        <v>1000</v>
      </c>
      <c r="E7" s="72">
        <v>1000</v>
      </c>
      <c r="F7" s="72">
        <v>2000</v>
      </c>
      <c r="G7" s="72">
        <v>4000</v>
      </c>
      <c r="H7" s="72">
        <v>5000</v>
      </c>
      <c r="I7" s="72">
        <v>1000</v>
      </c>
      <c r="J7" s="72">
        <v>3000</v>
      </c>
      <c r="K7" s="72">
        <v>2000</v>
      </c>
      <c r="L7" s="72">
        <v>4000</v>
      </c>
      <c r="M7" s="72">
        <v>5000</v>
      </c>
      <c r="N7" s="72">
        <v>2000</v>
      </c>
      <c r="O7" s="72">
        <v>3000</v>
      </c>
      <c r="P7" s="6">
        <f>SUM(D7:O7)</f>
        <v>33000</v>
      </c>
      <c r="Q7" s="82">
        <f>P7</f>
        <v>33000</v>
      </c>
    </row>
    <row r="8" spans="2:17" x14ac:dyDescent="0.4">
      <c r="B8" s="61"/>
      <c r="C8" s="12" t="s">
        <v>21</v>
      </c>
      <c r="D8" s="6">
        <f>SUM(D9:D10)</f>
        <v>500</v>
      </c>
      <c r="E8" s="6">
        <f t="shared" ref="E8:O8" si="1">SUM(E9:E10)</f>
        <v>1000</v>
      </c>
      <c r="F8" s="6">
        <f t="shared" si="1"/>
        <v>1000</v>
      </c>
      <c r="G8" s="6">
        <f t="shared" si="1"/>
        <v>1000</v>
      </c>
      <c r="H8" s="6">
        <f t="shared" si="1"/>
        <v>1000</v>
      </c>
      <c r="I8" s="6">
        <f t="shared" si="1"/>
        <v>1000</v>
      </c>
      <c r="J8" s="6">
        <f t="shared" si="1"/>
        <v>1000</v>
      </c>
      <c r="K8" s="6">
        <f t="shared" si="1"/>
        <v>1000</v>
      </c>
      <c r="L8" s="6">
        <f t="shared" si="1"/>
        <v>1000</v>
      </c>
      <c r="M8" s="6">
        <f t="shared" si="1"/>
        <v>1000</v>
      </c>
      <c r="N8" s="6">
        <f t="shared" si="1"/>
        <v>1000</v>
      </c>
      <c r="O8" s="6">
        <f t="shared" si="1"/>
        <v>1000</v>
      </c>
      <c r="P8" s="6">
        <f>SUM(P9:P10)</f>
        <v>11500</v>
      </c>
      <c r="Q8" s="82">
        <f t="shared" ref="Q8:Q11" si="2">P8</f>
        <v>11500</v>
      </c>
    </row>
    <row r="9" spans="2:17" x14ac:dyDescent="0.4">
      <c r="B9" s="28" t="s">
        <v>2</v>
      </c>
      <c r="C9" s="7" t="s">
        <v>91</v>
      </c>
      <c r="D9" s="72">
        <v>200</v>
      </c>
      <c r="E9" s="72">
        <v>500</v>
      </c>
      <c r="F9" s="72">
        <v>500</v>
      </c>
      <c r="G9" s="72">
        <v>500</v>
      </c>
      <c r="H9" s="72">
        <v>500</v>
      </c>
      <c r="I9" s="72">
        <v>500</v>
      </c>
      <c r="J9" s="72">
        <v>500</v>
      </c>
      <c r="K9" s="72">
        <v>500</v>
      </c>
      <c r="L9" s="72">
        <v>500</v>
      </c>
      <c r="M9" s="72">
        <v>500</v>
      </c>
      <c r="N9" s="72">
        <v>500</v>
      </c>
      <c r="O9" s="72">
        <v>500</v>
      </c>
      <c r="P9" s="6">
        <f t="shared" ref="P9:P10" si="3">SUM(D9:O9)</f>
        <v>5700</v>
      </c>
      <c r="Q9" s="82">
        <f t="shared" si="2"/>
        <v>5700</v>
      </c>
    </row>
    <row r="10" spans="2:17" x14ac:dyDescent="0.4">
      <c r="B10" s="29" t="s">
        <v>3</v>
      </c>
      <c r="C10" s="7" t="s">
        <v>93</v>
      </c>
      <c r="D10" s="72">
        <v>300</v>
      </c>
      <c r="E10" s="72">
        <v>500</v>
      </c>
      <c r="F10" s="72">
        <v>500</v>
      </c>
      <c r="G10" s="72">
        <v>500</v>
      </c>
      <c r="H10" s="72">
        <v>500</v>
      </c>
      <c r="I10" s="72">
        <v>500</v>
      </c>
      <c r="J10" s="72">
        <v>500</v>
      </c>
      <c r="K10" s="72">
        <v>500</v>
      </c>
      <c r="L10" s="72">
        <v>500</v>
      </c>
      <c r="M10" s="72">
        <v>500</v>
      </c>
      <c r="N10" s="72">
        <v>500</v>
      </c>
      <c r="O10" s="72">
        <v>500</v>
      </c>
      <c r="P10" s="6">
        <f t="shared" si="3"/>
        <v>5800</v>
      </c>
      <c r="Q10" s="82">
        <f t="shared" si="2"/>
        <v>5800</v>
      </c>
    </row>
    <row r="11" spans="2:17" s="2" customFormat="1" x14ac:dyDescent="0.4">
      <c r="B11" s="64">
        <v>2</v>
      </c>
      <c r="C11" s="62" t="s">
        <v>57</v>
      </c>
      <c r="D11" s="6">
        <f>D8/D6</f>
        <v>0.33333333333333331</v>
      </c>
      <c r="E11" s="6">
        <f t="shared" ref="E11:O11" si="4">E8/E6</f>
        <v>0.5</v>
      </c>
      <c r="F11" s="6">
        <f t="shared" si="4"/>
        <v>0.33333333333333331</v>
      </c>
      <c r="G11" s="6">
        <f t="shared" si="4"/>
        <v>0.2</v>
      </c>
      <c r="H11" s="6">
        <f t="shared" si="4"/>
        <v>0.16666666666666666</v>
      </c>
      <c r="I11" s="6">
        <f t="shared" si="4"/>
        <v>0.5</v>
      </c>
      <c r="J11" s="6">
        <f t="shared" si="4"/>
        <v>0.25</v>
      </c>
      <c r="K11" s="6">
        <f t="shared" si="4"/>
        <v>0.33333333333333331</v>
      </c>
      <c r="L11" s="6">
        <f t="shared" si="4"/>
        <v>0.2</v>
      </c>
      <c r="M11" s="6">
        <f t="shared" si="4"/>
        <v>0.16666666666666666</v>
      </c>
      <c r="N11" s="6">
        <f t="shared" si="4"/>
        <v>0.33333333333333331</v>
      </c>
      <c r="O11" s="6">
        <f t="shared" si="4"/>
        <v>0.25</v>
      </c>
      <c r="P11" s="6">
        <f>P8/P6</f>
        <v>0.25842696629213485</v>
      </c>
      <c r="Q11" s="77">
        <f t="shared" si="2"/>
        <v>0.25842696629213485</v>
      </c>
    </row>
    <row r="12" spans="2:17" x14ac:dyDescent="0.4">
      <c r="B12" s="26">
        <v>3</v>
      </c>
      <c r="C12" s="4" t="s">
        <v>51</v>
      </c>
      <c r="D12" s="5">
        <f>SUM(D13:D15)</f>
        <v>400</v>
      </c>
      <c r="E12" s="5">
        <f t="shared" ref="E12:O12" si="5">SUM(E13:E15)</f>
        <v>250</v>
      </c>
      <c r="F12" s="5">
        <f t="shared" si="5"/>
        <v>300</v>
      </c>
      <c r="G12" s="5">
        <f t="shared" si="5"/>
        <v>300</v>
      </c>
      <c r="H12" s="5">
        <f t="shared" si="5"/>
        <v>300</v>
      </c>
      <c r="I12" s="5">
        <f t="shared" si="5"/>
        <v>300</v>
      </c>
      <c r="J12" s="5">
        <f t="shared" si="5"/>
        <v>300</v>
      </c>
      <c r="K12" s="5">
        <f t="shared" si="5"/>
        <v>300</v>
      </c>
      <c r="L12" s="5">
        <f t="shared" si="5"/>
        <v>300</v>
      </c>
      <c r="M12" s="5">
        <f t="shared" si="5"/>
        <v>300</v>
      </c>
      <c r="N12" s="5">
        <f t="shared" si="5"/>
        <v>300</v>
      </c>
      <c r="O12" s="5">
        <f t="shared" si="5"/>
        <v>300</v>
      </c>
      <c r="P12" s="5">
        <f>SUM(P13:P15)</f>
        <v>300</v>
      </c>
      <c r="Q12" s="77">
        <f>P12</f>
        <v>300</v>
      </c>
    </row>
    <row r="13" spans="2:17" x14ac:dyDescent="0.4">
      <c r="B13" s="26"/>
      <c r="C13" s="8" t="s">
        <v>43</v>
      </c>
      <c r="D13" s="72">
        <v>100</v>
      </c>
      <c r="E13" s="72">
        <v>50</v>
      </c>
      <c r="F13" s="72">
        <v>100</v>
      </c>
      <c r="G13" s="72">
        <v>100</v>
      </c>
      <c r="H13" s="72">
        <v>100</v>
      </c>
      <c r="I13" s="72">
        <v>100</v>
      </c>
      <c r="J13" s="72">
        <v>100</v>
      </c>
      <c r="K13" s="72">
        <v>100</v>
      </c>
      <c r="L13" s="72">
        <v>100</v>
      </c>
      <c r="M13" s="72">
        <v>100</v>
      </c>
      <c r="N13" s="72">
        <v>100</v>
      </c>
      <c r="O13" s="72">
        <v>100</v>
      </c>
      <c r="P13" s="6">
        <v>100</v>
      </c>
      <c r="Q13" s="82">
        <f t="shared" ref="Q13:Q15" si="6">P13</f>
        <v>100</v>
      </c>
    </row>
    <row r="14" spans="2:17" x14ac:dyDescent="0.4">
      <c r="B14" s="26"/>
      <c r="C14" s="8" t="s">
        <v>44</v>
      </c>
      <c r="D14" s="72">
        <v>200</v>
      </c>
      <c r="E14" s="72">
        <v>100</v>
      </c>
      <c r="F14" s="72">
        <v>100</v>
      </c>
      <c r="G14" s="72">
        <v>100</v>
      </c>
      <c r="H14" s="72">
        <v>100</v>
      </c>
      <c r="I14" s="72">
        <v>100</v>
      </c>
      <c r="J14" s="72">
        <v>100</v>
      </c>
      <c r="K14" s="72">
        <v>100</v>
      </c>
      <c r="L14" s="72">
        <v>100</v>
      </c>
      <c r="M14" s="72">
        <v>100</v>
      </c>
      <c r="N14" s="72">
        <v>100</v>
      </c>
      <c r="O14" s="72">
        <v>100</v>
      </c>
      <c r="P14" s="6">
        <v>100</v>
      </c>
      <c r="Q14" s="82">
        <f t="shared" si="6"/>
        <v>100</v>
      </c>
    </row>
    <row r="15" spans="2:17" x14ac:dyDescent="0.4">
      <c r="B15" s="26"/>
      <c r="C15" s="8" t="s">
        <v>45</v>
      </c>
      <c r="D15" s="72">
        <v>100</v>
      </c>
      <c r="E15" s="72">
        <v>100</v>
      </c>
      <c r="F15" s="72">
        <v>100</v>
      </c>
      <c r="G15" s="72">
        <v>100</v>
      </c>
      <c r="H15" s="72">
        <v>100</v>
      </c>
      <c r="I15" s="72">
        <v>100</v>
      </c>
      <c r="J15" s="72">
        <v>100</v>
      </c>
      <c r="K15" s="72">
        <v>100</v>
      </c>
      <c r="L15" s="72">
        <v>100</v>
      </c>
      <c r="M15" s="72">
        <v>100</v>
      </c>
      <c r="N15" s="72">
        <v>100</v>
      </c>
      <c r="O15" s="72">
        <v>100</v>
      </c>
      <c r="P15" s="6">
        <v>100</v>
      </c>
      <c r="Q15" s="82">
        <f t="shared" si="6"/>
        <v>100</v>
      </c>
    </row>
    <row r="16" spans="2:17" x14ac:dyDescent="0.4">
      <c r="B16" s="26">
        <v>4</v>
      </c>
      <c r="C16" s="4" t="s">
        <v>51</v>
      </c>
      <c r="D16" s="5">
        <f>D12*D11</f>
        <v>133.33333333333331</v>
      </c>
      <c r="E16" s="5">
        <f t="shared" ref="E16:N16" si="7">E12*E11</f>
        <v>125</v>
      </c>
      <c r="F16" s="5">
        <f t="shared" si="7"/>
        <v>100</v>
      </c>
      <c r="G16" s="5">
        <f t="shared" si="7"/>
        <v>60</v>
      </c>
      <c r="H16" s="5">
        <f t="shared" si="7"/>
        <v>50</v>
      </c>
      <c r="I16" s="5">
        <f t="shared" si="7"/>
        <v>150</v>
      </c>
      <c r="J16" s="5">
        <f t="shared" si="7"/>
        <v>75</v>
      </c>
      <c r="K16" s="5">
        <f t="shared" si="7"/>
        <v>100</v>
      </c>
      <c r="L16" s="5">
        <f t="shared" si="7"/>
        <v>60</v>
      </c>
      <c r="M16" s="5">
        <f t="shared" si="7"/>
        <v>50</v>
      </c>
      <c r="N16" s="5">
        <f t="shared" si="7"/>
        <v>100</v>
      </c>
      <c r="O16" s="5">
        <f>O12*O11</f>
        <v>75</v>
      </c>
      <c r="P16" s="5">
        <f>P12*P11</f>
        <v>77.528089887640462</v>
      </c>
      <c r="Q16" s="77">
        <f>Q12*Q11</f>
        <v>77.528089887640462</v>
      </c>
    </row>
    <row r="17" spans="2:17" x14ac:dyDescent="0.4">
      <c r="B17" s="26"/>
      <c r="C17" s="12"/>
      <c r="D17" s="6"/>
      <c r="E17" s="6"/>
      <c r="F17" s="6"/>
      <c r="G17" s="6"/>
      <c r="H17" s="6"/>
      <c r="I17" s="6"/>
      <c r="J17" s="6"/>
      <c r="K17" s="6"/>
      <c r="L17" s="6"/>
      <c r="M17" s="6"/>
      <c r="N17" s="6"/>
      <c r="O17" s="6"/>
      <c r="P17" s="6"/>
      <c r="Q17" s="82"/>
    </row>
    <row r="18" spans="2:17" x14ac:dyDescent="0.4">
      <c r="B18" s="59" t="s">
        <v>20</v>
      </c>
      <c r="C18" s="60" t="s">
        <v>94</v>
      </c>
      <c r="D18" s="119"/>
      <c r="E18" s="120"/>
      <c r="F18" s="120"/>
      <c r="G18" s="120"/>
      <c r="H18" s="120"/>
      <c r="I18" s="120"/>
      <c r="J18" s="120"/>
      <c r="K18" s="120"/>
      <c r="L18" s="120"/>
      <c r="M18" s="120"/>
      <c r="N18" s="120"/>
      <c r="O18" s="120"/>
      <c r="P18" s="120"/>
      <c r="Q18" s="82">
        <f>P18</f>
        <v>0</v>
      </c>
    </row>
    <row r="19" spans="2:17" s="91" customFormat="1" x14ac:dyDescent="0.4">
      <c r="B19" s="87">
        <v>1</v>
      </c>
      <c r="C19" s="66" t="s">
        <v>98</v>
      </c>
      <c r="D19" s="5">
        <f>D20+D21</f>
        <v>0</v>
      </c>
      <c r="E19" s="5">
        <f t="shared" ref="E19:O19" si="8">E20+E21</f>
        <v>0</v>
      </c>
      <c r="F19" s="5">
        <f t="shared" si="8"/>
        <v>0</v>
      </c>
      <c r="G19" s="5">
        <f t="shared" si="8"/>
        <v>0</v>
      </c>
      <c r="H19" s="5">
        <f t="shared" si="8"/>
        <v>0</v>
      </c>
      <c r="I19" s="5">
        <f t="shared" si="8"/>
        <v>0</v>
      </c>
      <c r="J19" s="5">
        <f t="shared" si="8"/>
        <v>0</v>
      </c>
      <c r="K19" s="5">
        <f t="shared" si="8"/>
        <v>0</v>
      </c>
      <c r="L19" s="5">
        <f t="shared" si="8"/>
        <v>0</v>
      </c>
      <c r="M19" s="5">
        <f t="shared" si="8"/>
        <v>0</v>
      </c>
      <c r="N19" s="5">
        <f t="shared" si="8"/>
        <v>0</v>
      </c>
      <c r="O19" s="5">
        <f t="shared" si="8"/>
        <v>0</v>
      </c>
      <c r="P19" s="5">
        <f>P20+P21</f>
        <v>0</v>
      </c>
      <c r="Q19" s="77">
        <f>P19</f>
        <v>0</v>
      </c>
    </row>
    <row r="20" spans="2:17" x14ac:dyDescent="0.4">
      <c r="B20" s="67"/>
      <c r="C20" s="68" t="s">
        <v>92</v>
      </c>
      <c r="D20" s="73"/>
      <c r="E20" s="73"/>
      <c r="F20" s="73"/>
      <c r="G20" s="73"/>
      <c r="H20" s="73"/>
      <c r="I20" s="73"/>
      <c r="J20" s="73"/>
      <c r="K20" s="73"/>
      <c r="L20" s="73"/>
      <c r="M20" s="73"/>
      <c r="N20" s="73"/>
      <c r="O20" s="73"/>
      <c r="P20" s="6">
        <f>SUM(D20:O20)</f>
        <v>0</v>
      </c>
      <c r="Q20" s="82">
        <f>P20</f>
        <v>0</v>
      </c>
    </row>
    <row r="21" spans="2:17" x14ac:dyDescent="0.4">
      <c r="B21" s="67"/>
      <c r="C21" s="68" t="s">
        <v>21</v>
      </c>
      <c r="D21" s="9">
        <f>SUM(D22:D26)</f>
        <v>0</v>
      </c>
      <c r="E21" s="9">
        <f t="shared" ref="E21:O21" si="9">SUM(E22:E26)</f>
        <v>0</v>
      </c>
      <c r="F21" s="9">
        <f t="shared" si="9"/>
        <v>0</v>
      </c>
      <c r="G21" s="9">
        <f t="shared" si="9"/>
        <v>0</v>
      </c>
      <c r="H21" s="9">
        <f t="shared" si="9"/>
        <v>0</v>
      </c>
      <c r="I21" s="9">
        <f t="shared" si="9"/>
        <v>0</v>
      </c>
      <c r="J21" s="9">
        <f t="shared" si="9"/>
        <v>0</v>
      </c>
      <c r="K21" s="9">
        <f t="shared" si="9"/>
        <v>0</v>
      </c>
      <c r="L21" s="9">
        <f t="shared" si="9"/>
        <v>0</v>
      </c>
      <c r="M21" s="9">
        <f t="shared" si="9"/>
        <v>0</v>
      </c>
      <c r="N21" s="9">
        <f t="shared" si="9"/>
        <v>0</v>
      </c>
      <c r="O21" s="9">
        <f t="shared" si="9"/>
        <v>0</v>
      </c>
      <c r="P21" s="9">
        <f>SUM(P22:P26)</f>
        <v>0</v>
      </c>
      <c r="Q21" s="82">
        <f>P21</f>
        <v>0</v>
      </c>
    </row>
    <row r="22" spans="2:17" x14ac:dyDescent="0.4">
      <c r="B22" s="69" t="s">
        <v>2</v>
      </c>
      <c r="C22" s="70" t="s">
        <v>91</v>
      </c>
      <c r="D22" s="74"/>
      <c r="E22" s="74"/>
      <c r="F22" s="74"/>
      <c r="G22" s="74"/>
      <c r="H22" s="74"/>
      <c r="I22" s="74"/>
      <c r="J22" s="74"/>
      <c r="K22" s="74"/>
      <c r="L22" s="74"/>
      <c r="M22" s="74"/>
      <c r="N22" s="74"/>
      <c r="O22" s="74"/>
      <c r="P22" s="6">
        <f>SUM(D22:O22)</f>
        <v>0</v>
      </c>
      <c r="Q22" s="82">
        <f t="shared" ref="Q22:Q31" si="10">P22</f>
        <v>0</v>
      </c>
    </row>
    <row r="23" spans="2:17" x14ac:dyDescent="0.4">
      <c r="B23" s="69" t="s">
        <v>3</v>
      </c>
      <c r="C23" s="70" t="s">
        <v>93</v>
      </c>
      <c r="D23" s="74"/>
      <c r="E23" s="74"/>
      <c r="F23" s="74"/>
      <c r="G23" s="74"/>
      <c r="H23" s="74"/>
      <c r="I23" s="74"/>
      <c r="J23" s="74"/>
      <c r="K23" s="74"/>
      <c r="L23" s="74"/>
      <c r="M23" s="74"/>
      <c r="N23" s="74"/>
      <c r="O23" s="74"/>
      <c r="P23" s="6">
        <f t="shared" ref="P23:P26" si="11">SUM(D23:O23)</f>
        <v>0</v>
      </c>
      <c r="Q23" s="82">
        <f t="shared" si="10"/>
        <v>0</v>
      </c>
    </row>
    <row r="24" spans="2:17" x14ac:dyDescent="0.4">
      <c r="B24" s="71" t="s">
        <v>40</v>
      </c>
      <c r="C24" s="70" t="s">
        <v>18</v>
      </c>
      <c r="D24" s="74"/>
      <c r="E24" s="74"/>
      <c r="F24" s="74"/>
      <c r="G24" s="74"/>
      <c r="H24" s="74"/>
      <c r="I24" s="74"/>
      <c r="J24" s="74"/>
      <c r="K24" s="74"/>
      <c r="L24" s="74"/>
      <c r="M24" s="74"/>
      <c r="N24" s="74"/>
      <c r="O24" s="74"/>
      <c r="P24" s="6">
        <f t="shared" si="11"/>
        <v>0</v>
      </c>
      <c r="Q24" s="82">
        <f t="shared" si="10"/>
        <v>0</v>
      </c>
    </row>
    <row r="25" spans="2:17" x14ac:dyDescent="0.4">
      <c r="B25" s="71" t="s">
        <v>41</v>
      </c>
      <c r="C25" s="70" t="s">
        <v>4</v>
      </c>
      <c r="D25" s="74"/>
      <c r="E25" s="74"/>
      <c r="F25" s="74"/>
      <c r="G25" s="74"/>
      <c r="H25" s="74"/>
      <c r="I25" s="74"/>
      <c r="J25" s="74"/>
      <c r="K25" s="74"/>
      <c r="L25" s="74"/>
      <c r="M25" s="74"/>
      <c r="N25" s="74"/>
      <c r="O25" s="74"/>
      <c r="P25" s="6">
        <f t="shared" si="11"/>
        <v>0</v>
      </c>
      <c r="Q25" s="82">
        <f t="shared" si="10"/>
        <v>0</v>
      </c>
    </row>
    <row r="26" spans="2:17" x14ac:dyDescent="0.4">
      <c r="B26" s="71" t="s">
        <v>42</v>
      </c>
      <c r="C26" s="70" t="s">
        <v>5</v>
      </c>
      <c r="D26" s="74"/>
      <c r="E26" s="74"/>
      <c r="F26" s="74"/>
      <c r="G26" s="74"/>
      <c r="H26" s="74"/>
      <c r="I26" s="74"/>
      <c r="J26" s="74"/>
      <c r="K26" s="74"/>
      <c r="L26" s="74"/>
      <c r="M26" s="74"/>
      <c r="N26" s="74"/>
      <c r="O26" s="74"/>
      <c r="P26" s="6">
        <f t="shared" si="11"/>
        <v>0</v>
      </c>
      <c r="Q26" s="82">
        <f t="shared" si="10"/>
        <v>0</v>
      </c>
    </row>
    <row r="27" spans="2:17" s="90" customFormat="1" x14ac:dyDescent="0.4">
      <c r="B27" s="88">
        <v>2</v>
      </c>
      <c r="C27" s="89" t="s">
        <v>57</v>
      </c>
      <c r="D27" s="5" t="e">
        <f>D21/D19</f>
        <v>#DIV/0!</v>
      </c>
      <c r="E27" s="5" t="e">
        <f t="shared" ref="E27:O27" si="12">E21/E19</f>
        <v>#DIV/0!</v>
      </c>
      <c r="F27" s="5" t="e">
        <f t="shared" si="12"/>
        <v>#DIV/0!</v>
      </c>
      <c r="G27" s="5" t="e">
        <f t="shared" si="12"/>
        <v>#DIV/0!</v>
      </c>
      <c r="H27" s="5" t="e">
        <f t="shared" si="12"/>
        <v>#DIV/0!</v>
      </c>
      <c r="I27" s="5" t="e">
        <f t="shared" si="12"/>
        <v>#DIV/0!</v>
      </c>
      <c r="J27" s="5" t="e">
        <f t="shared" si="12"/>
        <v>#DIV/0!</v>
      </c>
      <c r="K27" s="5" t="e">
        <f t="shared" si="12"/>
        <v>#DIV/0!</v>
      </c>
      <c r="L27" s="5" t="e">
        <f t="shared" si="12"/>
        <v>#DIV/0!</v>
      </c>
      <c r="M27" s="5" t="e">
        <f t="shared" si="12"/>
        <v>#DIV/0!</v>
      </c>
      <c r="N27" s="5" t="e">
        <f t="shared" si="12"/>
        <v>#DIV/0!</v>
      </c>
      <c r="O27" s="5" t="e">
        <f t="shared" si="12"/>
        <v>#DIV/0!</v>
      </c>
      <c r="P27" s="5" t="e">
        <f>P21/P19</f>
        <v>#DIV/0!</v>
      </c>
      <c r="Q27" s="77" t="e">
        <f>Q21/Q19</f>
        <v>#DIV/0!</v>
      </c>
    </row>
    <row r="28" spans="2:17" s="91" customFormat="1" x14ac:dyDescent="0.4">
      <c r="B28" s="87">
        <v>3</v>
      </c>
      <c r="C28" s="66" t="s">
        <v>51</v>
      </c>
      <c r="D28" s="5">
        <f>SUM(D29:D31)</f>
        <v>0</v>
      </c>
      <c r="E28" s="5">
        <f t="shared" ref="E28:O28" si="13">SUM(E29:E31)</f>
        <v>0</v>
      </c>
      <c r="F28" s="5">
        <f t="shared" si="13"/>
        <v>0</v>
      </c>
      <c r="G28" s="5">
        <f t="shared" si="13"/>
        <v>0</v>
      </c>
      <c r="H28" s="5">
        <f t="shared" si="13"/>
        <v>0</v>
      </c>
      <c r="I28" s="5">
        <f t="shared" si="13"/>
        <v>0</v>
      </c>
      <c r="J28" s="5">
        <f t="shared" si="13"/>
        <v>0</v>
      </c>
      <c r="K28" s="5">
        <f t="shared" si="13"/>
        <v>0</v>
      </c>
      <c r="L28" s="5">
        <f t="shared" si="13"/>
        <v>0</v>
      </c>
      <c r="M28" s="5">
        <f t="shared" si="13"/>
        <v>0</v>
      </c>
      <c r="N28" s="5">
        <f t="shared" si="13"/>
        <v>0</v>
      </c>
      <c r="O28" s="5">
        <f t="shared" si="13"/>
        <v>0</v>
      </c>
      <c r="P28" s="5">
        <f>SUM(P29:P31)</f>
        <v>0</v>
      </c>
      <c r="Q28" s="77">
        <f t="shared" si="10"/>
        <v>0</v>
      </c>
    </row>
    <row r="29" spans="2:17" x14ac:dyDescent="0.4">
      <c r="B29" s="26"/>
      <c r="C29" s="8" t="s">
        <v>43</v>
      </c>
      <c r="D29" s="74"/>
      <c r="E29" s="74"/>
      <c r="F29" s="75"/>
      <c r="G29" s="75"/>
      <c r="H29" s="75"/>
      <c r="I29" s="75"/>
      <c r="J29" s="75"/>
      <c r="K29" s="75"/>
      <c r="L29" s="75"/>
      <c r="M29" s="75"/>
      <c r="N29" s="75"/>
      <c r="O29" s="75"/>
      <c r="P29" s="6"/>
      <c r="Q29" s="82">
        <f t="shared" si="10"/>
        <v>0</v>
      </c>
    </row>
    <row r="30" spans="2:17" x14ac:dyDescent="0.4">
      <c r="B30" s="26"/>
      <c r="C30" s="8" t="s">
        <v>44</v>
      </c>
      <c r="D30" s="74"/>
      <c r="E30" s="74"/>
      <c r="F30" s="75"/>
      <c r="G30" s="75"/>
      <c r="H30" s="75"/>
      <c r="I30" s="75"/>
      <c r="J30" s="75"/>
      <c r="K30" s="75"/>
      <c r="L30" s="75"/>
      <c r="M30" s="75"/>
      <c r="N30" s="75"/>
      <c r="O30" s="75"/>
      <c r="P30" s="6"/>
      <c r="Q30" s="82">
        <f t="shared" si="10"/>
        <v>0</v>
      </c>
    </row>
    <row r="31" spans="2:17" x14ac:dyDescent="0.4">
      <c r="B31" s="26"/>
      <c r="C31" s="8" t="s">
        <v>45</v>
      </c>
      <c r="D31" s="74"/>
      <c r="E31" s="74"/>
      <c r="F31" s="75"/>
      <c r="G31" s="75"/>
      <c r="H31" s="75"/>
      <c r="I31" s="75"/>
      <c r="J31" s="75"/>
      <c r="K31" s="75"/>
      <c r="L31" s="75"/>
      <c r="M31" s="75"/>
      <c r="N31" s="75"/>
      <c r="O31" s="75"/>
      <c r="P31" s="6"/>
      <c r="Q31" s="82">
        <f t="shared" si="10"/>
        <v>0</v>
      </c>
    </row>
    <row r="32" spans="2:17" s="91" customFormat="1" x14ac:dyDescent="0.4">
      <c r="B32" s="26">
        <v>4</v>
      </c>
      <c r="C32" s="4" t="s">
        <v>51</v>
      </c>
      <c r="D32" s="5" t="e">
        <f>D27*D28</f>
        <v>#DIV/0!</v>
      </c>
      <c r="E32" s="5" t="e">
        <f t="shared" ref="E32:O32" si="14">E28*E27</f>
        <v>#DIV/0!</v>
      </c>
      <c r="F32" s="5" t="e">
        <f t="shared" si="14"/>
        <v>#DIV/0!</v>
      </c>
      <c r="G32" s="5" t="e">
        <f t="shared" si="14"/>
        <v>#DIV/0!</v>
      </c>
      <c r="H32" s="5" t="e">
        <f t="shared" si="14"/>
        <v>#DIV/0!</v>
      </c>
      <c r="I32" s="5" t="e">
        <f t="shared" si="14"/>
        <v>#DIV/0!</v>
      </c>
      <c r="J32" s="5" t="e">
        <f t="shared" si="14"/>
        <v>#DIV/0!</v>
      </c>
      <c r="K32" s="5" t="e">
        <f t="shared" si="14"/>
        <v>#DIV/0!</v>
      </c>
      <c r="L32" s="5" t="e">
        <f t="shared" si="14"/>
        <v>#DIV/0!</v>
      </c>
      <c r="M32" s="5" t="e">
        <f t="shared" si="14"/>
        <v>#DIV/0!</v>
      </c>
      <c r="N32" s="5" t="e">
        <f t="shared" si="14"/>
        <v>#DIV/0!</v>
      </c>
      <c r="O32" s="5" t="e">
        <f t="shared" si="14"/>
        <v>#DIV/0!</v>
      </c>
      <c r="P32" s="5" t="e">
        <f>P28*P27</f>
        <v>#DIV/0!</v>
      </c>
      <c r="Q32" s="77" t="e">
        <f>Q27+Q28</f>
        <v>#DIV/0!</v>
      </c>
    </row>
    <row r="33" spans="2:17" s="2" customFormat="1" x14ac:dyDescent="0.4">
      <c r="B33" s="76"/>
      <c r="C33" s="12"/>
      <c r="D33" s="9"/>
      <c r="E33" s="9"/>
      <c r="F33" s="65"/>
      <c r="G33" s="65"/>
      <c r="H33" s="65"/>
      <c r="I33" s="65"/>
      <c r="J33" s="65"/>
      <c r="K33" s="65"/>
      <c r="L33" s="65"/>
      <c r="M33" s="65"/>
      <c r="N33" s="65"/>
      <c r="O33" s="65"/>
      <c r="P33" s="6"/>
      <c r="Q33" s="83"/>
    </row>
    <row r="34" spans="2:17" x14ac:dyDescent="0.4">
      <c r="B34" s="26" t="s">
        <v>25</v>
      </c>
      <c r="C34" s="4" t="s">
        <v>56</v>
      </c>
      <c r="D34" s="10" t="e">
        <f>D16+D32</f>
        <v>#DIV/0!</v>
      </c>
      <c r="E34" s="10" t="e">
        <f t="shared" ref="E34:O34" si="15">E16+E32</f>
        <v>#DIV/0!</v>
      </c>
      <c r="F34" s="10" t="e">
        <f t="shared" si="15"/>
        <v>#DIV/0!</v>
      </c>
      <c r="G34" s="10" t="e">
        <f t="shared" si="15"/>
        <v>#DIV/0!</v>
      </c>
      <c r="H34" s="10" t="e">
        <f t="shared" si="15"/>
        <v>#DIV/0!</v>
      </c>
      <c r="I34" s="10" t="e">
        <f t="shared" si="15"/>
        <v>#DIV/0!</v>
      </c>
      <c r="J34" s="10" t="e">
        <f t="shared" si="15"/>
        <v>#DIV/0!</v>
      </c>
      <c r="K34" s="10" t="e">
        <f t="shared" si="15"/>
        <v>#DIV/0!</v>
      </c>
      <c r="L34" s="10" t="e">
        <f t="shared" si="15"/>
        <v>#DIV/0!</v>
      </c>
      <c r="M34" s="10" t="e">
        <f t="shared" si="15"/>
        <v>#DIV/0!</v>
      </c>
      <c r="N34" s="10" t="e">
        <f t="shared" si="15"/>
        <v>#DIV/0!</v>
      </c>
      <c r="O34" s="10" t="e">
        <f t="shared" si="15"/>
        <v>#DIV/0!</v>
      </c>
      <c r="P34" s="10" t="e">
        <f>P16+P32</f>
        <v>#DIV/0!</v>
      </c>
      <c r="Q34" s="84"/>
    </row>
    <row r="35" spans="2:17" x14ac:dyDescent="0.4">
      <c r="B35" s="26" t="s">
        <v>26</v>
      </c>
      <c r="C35" s="4" t="s">
        <v>62</v>
      </c>
      <c r="D35" s="111"/>
      <c r="E35" s="112"/>
      <c r="F35" s="112"/>
      <c r="G35" s="112"/>
      <c r="H35" s="112"/>
      <c r="I35" s="112"/>
      <c r="J35" s="112"/>
      <c r="K35" s="112"/>
      <c r="L35" s="112"/>
      <c r="M35" s="112"/>
      <c r="N35" s="112"/>
      <c r="O35" s="112"/>
      <c r="P35" s="113"/>
      <c r="Q35" s="82" t="e">
        <f>Q32+Q16</f>
        <v>#DIV/0!</v>
      </c>
    </row>
    <row r="36" spans="2:17" x14ac:dyDescent="0.4">
      <c r="B36" s="26" t="s">
        <v>27</v>
      </c>
      <c r="C36" s="4" t="s">
        <v>49</v>
      </c>
      <c r="D36" s="102"/>
      <c r="E36" s="102"/>
      <c r="F36" s="103"/>
      <c r="G36" s="103"/>
      <c r="H36" s="103"/>
      <c r="I36" s="103"/>
      <c r="J36" s="103"/>
      <c r="K36" s="103"/>
      <c r="L36" s="103"/>
      <c r="M36" s="103"/>
      <c r="N36" s="103"/>
      <c r="O36" s="103"/>
      <c r="P36" s="16"/>
      <c r="Q36" s="82">
        <f>P36</f>
        <v>0</v>
      </c>
    </row>
    <row r="37" spans="2:17" ht="14.25" thickBot="1" x14ac:dyDescent="0.45">
      <c r="B37" s="30" t="s">
        <v>61</v>
      </c>
      <c r="C37" s="31" t="s">
        <v>50</v>
      </c>
      <c r="D37" s="32" t="e">
        <f>D34-D36</f>
        <v>#DIV/0!</v>
      </c>
      <c r="E37" s="32" t="e">
        <f t="shared" ref="E37:P37" si="16">E34-E36</f>
        <v>#DIV/0!</v>
      </c>
      <c r="F37" s="32" t="e">
        <f t="shared" si="16"/>
        <v>#DIV/0!</v>
      </c>
      <c r="G37" s="32" t="e">
        <f t="shared" si="16"/>
        <v>#DIV/0!</v>
      </c>
      <c r="H37" s="32" t="e">
        <f t="shared" si="16"/>
        <v>#DIV/0!</v>
      </c>
      <c r="I37" s="32" t="e">
        <f t="shared" si="16"/>
        <v>#DIV/0!</v>
      </c>
      <c r="J37" s="32" t="e">
        <f t="shared" si="16"/>
        <v>#DIV/0!</v>
      </c>
      <c r="K37" s="32" t="e">
        <f t="shared" si="16"/>
        <v>#DIV/0!</v>
      </c>
      <c r="L37" s="32" t="e">
        <f t="shared" si="16"/>
        <v>#DIV/0!</v>
      </c>
      <c r="M37" s="32" t="e">
        <f t="shared" si="16"/>
        <v>#DIV/0!</v>
      </c>
      <c r="N37" s="32" t="e">
        <f t="shared" si="16"/>
        <v>#DIV/0!</v>
      </c>
      <c r="O37" s="32" t="e">
        <f t="shared" si="16"/>
        <v>#DIV/0!</v>
      </c>
      <c r="P37" s="32" t="e">
        <f t="shared" si="16"/>
        <v>#DIV/0!</v>
      </c>
      <c r="Q37" s="85" t="e">
        <f>Q35-Q36</f>
        <v>#DIV/0!</v>
      </c>
    </row>
    <row r="38" spans="2:17" x14ac:dyDescent="0.4">
      <c r="B38" s="13"/>
      <c r="C38" s="13"/>
      <c r="D38" s="14"/>
      <c r="E38" s="14"/>
      <c r="F38" s="15"/>
      <c r="G38" s="15"/>
      <c r="H38" s="15"/>
      <c r="I38" s="15"/>
      <c r="J38" s="15"/>
      <c r="K38" s="15"/>
      <c r="L38" s="15"/>
      <c r="M38" s="15"/>
      <c r="N38" s="15"/>
      <c r="O38" s="15"/>
      <c r="P38" s="17"/>
      <c r="Q38" s="86"/>
    </row>
    <row r="39" spans="2:17" x14ac:dyDescent="0.4">
      <c r="B39" s="13"/>
      <c r="C39" s="13"/>
      <c r="D39" s="14"/>
      <c r="E39" s="14"/>
      <c r="F39" s="15"/>
      <c r="G39" s="15"/>
      <c r="H39" s="15"/>
      <c r="I39" s="15"/>
      <c r="J39" s="15"/>
      <c r="K39" s="15"/>
      <c r="L39" s="15"/>
      <c r="M39" s="15"/>
      <c r="N39" s="15"/>
      <c r="O39" s="15"/>
      <c r="P39" s="17"/>
      <c r="Q39" s="86"/>
    </row>
  </sheetData>
  <mergeCells count="5">
    <mergeCell ref="D35:P35"/>
    <mergeCell ref="D2:P2"/>
    <mergeCell ref="D4:P4"/>
    <mergeCell ref="D5:P5"/>
    <mergeCell ref="D18:P18"/>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535EF-4DA2-4901-8EA7-4DF5B86BC7C7}">
  <dimension ref="B1:Q39"/>
  <sheetViews>
    <sheetView topLeftCell="A19" zoomScaleNormal="100" workbookViewId="0">
      <selection activeCell="I23" sqref="I23"/>
    </sheetView>
  </sheetViews>
  <sheetFormatPr defaultRowHeight="13.9" x14ac:dyDescent="0.4"/>
  <cols>
    <col min="1" max="1" width="3.265625" customWidth="1"/>
    <col min="2" max="2" width="6.3984375" customWidth="1"/>
    <col min="3" max="3" width="35.53125" customWidth="1"/>
    <col min="9" max="9" width="9.9296875" bestFit="1" customWidth="1"/>
    <col min="14" max="14" width="9.33203125" customWidth="1"/>
    <col min="16" max="16" width="10.59765625" style="1" bestFit="1" customWidth="1"/>
    <col min="17" max="17" width="16.6640625" style="78" customWidth="1"/>
  </cols>
  <sheetData>
    <row r="1" spans="2:17" ht="14.25" thickBot="1" x14ac:dyDescent="0.45"/>
    <row r="2" spans="2:17" ht="14.25" thickBot="1" x14ac:dyDescent="0.45">
      <c r="C2" s="63" t="s">
        <v>95</v>
      </c>
      <c r="D2" s="114" t="s">
        <v>59</v>
      </c>
      <c r="E2" s="115"/>
      <c r="F2" s="115"/>
      <c r="G2" s="115"/>
      <c r="H2" s="115"/>
      <c r="I2" s="115"/>
      <c r="J2" s="115"/>
      <c r="K2" s="115"/>
      <c r="L2" s="115"/>
      <c r="M2" s="115"/>
      <c r="N2" s="115"/>
      <c r="O2" s="115"/>
      <c r="P2" s="116"/>
    </row>
    <row r="3" spans="2:17" ht="20.65" customHeight="1" thickBot="1" x14ac:dyDescent="0.45">
      <c r="B3" s="23" t="s">
        <v>0</v>
      </c>
      <c r="C3" s="24" t="s">
        <v>1</v>
      </c>
      <c r="D3" s="25" t="s">
        <v>6</v>
      </c>
      <c r="E3" s="24" t="s">
        <v>7</v>
      </c>
      <c r="F3" s="24" t="s">
        <v>8</v>
      </c>
      <c r="G3" s="24" t="s">
        <v>9</v>
      </c>
      <c r="H3" s="24" t="s">
        <v>10</v>
      </c>
      <c r="I3" s="24" t="s">
        <v>11</v>
      </c>
      <c r="J3" s="24" t="s">
        <v>12</v>
      </c>
      <c r="K3" s="24" t="s">
        <v>13</v>
      </c>
      <c r="L3" s="24" t="s">
        <v>14</v>
      </c>
      <c r="M3" s="24" t="s">
        <v>15</v>
      </c>
      <c r="N3" s="24" t="s">
        <v>16</v>
      </c>
      <c r="O3" s="24" t="s">
        <v>17</v>
      </c>
      <c r="P3" s="25" t="s">
        <v>60</v>
      </c>
      <c r="Q3" s="79" t="s">
        <v>58</v>
      </c>
    </row>
    <row r="4" spans="2:17" ht="14.25" thickTop="1" x14ac:dyDescent="0.4">
      <c r="B4" s="26"/>
      <c r="C4" s="11" t="s">
        <v>52</v>
      </c>
      <c r="D4" s="117"/>
      <c r="E4" s="118"/>
      <c r="F4" s="118"/>
      <c r="G4" s="118"/>
      <c r="H4" s="118"/>
      <c r="I4" s="118"/>
      <c r="J4" s="118"/>
      <c r="K4" s="118"/>
      <c r="L4" s="118"/>
      <c r="M4" s="118"/>
      <c r="N4" s="118"/>
      <c r="O4" s="118"/>
      <c r="P4" s="118"/>
      <c r="Q4" s="80"/>
    </row>
    <row r="5" spans="2:17" x14ac:dyDescent="0.4">
      <c r="B5" s="59" t="s">
        <v>19</v>
      </c>
      <c r="C5" s="60" t="s">
        <v>90</v>
      </c>
      <c r="D5" s="119"/>
      <c r="E5" s="120"/>
      <c r="F5" s="120"/>
      <c r="G5" s="120"/>
      <c r="H5" s="120"/>
      <c r="I5" s="120"/>
      <c r="J5" s="120"/>
      <c r="K5" s="120"/>
      <c r="L5" s="120"/>
      <c r="M5" s="120"/>
      <c r="N5" s="120"/>
      <c r="O5" s="120"/>
      <c r="P5" s="120"/>
      <c r="Q5" s="81"/>
    </row>
    <row r="6" spans="2:17" x14ac:dyDescent="0.4">
      <c r="B6" s="27">
        <v>1</v>
      </c>
      <c r="C6" s="4" t="s">
        <v>96</v>
      </c>
      <c r="D6" s="5">
        <f>D7+D8</f>
        <v>1500</v>
      </c>
      <c r="E6" s="5">
        <f>E7+E8</f>
        <v>2000</v>
      </c>
      <c r="F6" s="5">
        <f t="shared" ref="F6:O6" si="0">F7+F8</f>
        <v>3000</v>
      </c>
      <c r="G6" s="5">
        <f t="shared" si="0"/>
        <v>5000</v>
      </c>
      <c r="H6" s="5">
        <f t="shared" si="0"/>
        <v>6000</v>
      </c>
      <c r="I6" s="5">
        <f t="shared" si="0"/>
        <v>2000</v>
      </c>
      <c r="J6" s="5">
        <f t="shared" si="0"/>
        <v>4000</v>
      </c>
      <c r="K6" s="5">
        <f t="shared" si="0"/>
        <v>3000</v>
      </c>
      <c r="L6" s="5">
        <f t="shared" si="0"/>
        <v>5000</v>
      </c>
      <c r="M6" s="5">
        <f t="shared" si="0"/>
        <v>6000</v>
      </c>
      <c r="N6" s="5">
        <f t="shared" si="0"/>
        <v>3000</v>
      </c>
      <c r="O6" s="5">
        <f t="shared" si="0"/>
        <v>4000</v>
      </c>
      <c r="P6" s="5">
        <f>SUM(D6:O6)</f>
        <v>44500</v>
      </c>
      <c r="Q6" s="77">
        <f>P6</f>
        <v>44500</v>
      </c>
    </row>
    <row r="7" spans="2:17" x14ac:dyDescent="0.4">
      <c r="B7" s="61"/>
      <c r="C7" s="12" t="s">
        <v>97</v>
      </c>
      <c r="D7" s="72">
        <v>1000</v>
      </c>
      <c r="E7" s="72">
        <v>1000</v>
      </c>
      <c r="F7" s="72">
        <v>2000</v>
      </c>
      <c r="G7" s="72">
        <v>4000</v>
      </c>
      <c r="H7" s="72">
        <v>5000</v>
      </c>
      <c r="I7" s="72">
        <v>1000</v>
      </c>
      <c r="J7" s="72">
        <v>3000</v>
      </c>
      <c r="K7" s="72">
        <v>2000</v>
      </c>
      <c r="L7" s="72">
        <v>4000</v>
      </c>
      <c r="M7" s="72">
        <v>5000</v>
      </c>
      <c r="N7" s="72">
        <v>2000</v>
      </c>
      <c r="O7" s="72">
        <v>3000</v>
      </c>
      <c r="P7" s="6">
        <f>SUM(D7:O7)</f>
        <v>33000</v>
      </c>
      <c r="Q7" s="82">
        <f>P7</f>
        <v>33000</v>
      </c>
    </row>
    <row r="8" spans="2:17" x14ac:dyDescent="0.4">
      <c r="B8" s="61"/>
      <c r="C8" s="12" t="s">
        <v>21</v>
      </c>
      <c r="D8" s="6">
        <f>SUM(D9:D10)</f>
        <v>500</v>
      </c>
      <c r="E8" s="6">
        <f t="shared" ref="E8:O8" si="1">SUM(E9:E10)</f>
        <v>1000</v>
      </c>
      <c r="F8" s="6">
        <f t="shared" si="1"/>
        <v>1000</v>
      </c>
      <c r="G8" s="6">
        <f t="shared" si="1"/>
        <v>1000</v>
      </c>
      <c r="H8" s="6">
        <f t="shared" si="1"/>
        <v>1000</v>
      </c>
      <c r="I8" s="6">
        <f t="shared" si="1"/>
        <v>1000</v>
      </c>
      <c r="J8" s="6">
        <f t="shared" si="1"/>
        <v>1000</v>
      </c>
      <c r="K8" s="6">
        <f t="shared" si="1"/>
        <v>1000</v>
      </c>
      <c r="L8" s="6">
        <f t="shared" si="1"/>
        <v>1000</v>
      </c>
      <c r="M8" s="6">
        <f t="shared" si="1"/>
        <v>1000</v>
      </c>
      <c r="N8" s="6">
        <f t="shared" si="1"/>
        <v>1000</v>
      </c>
      <c r="O8" s="6">
        <f t="shared" si="1"/>
        <v>1000</v>
      </c>
      <c r="P8" s="6">
        <f>SUM(P9:P10)</f>
        <v>11500</v>
      </c>
      <c r="Q8" s="82">
        <f t="shared" ref="Q8:Q11" si="2">P8</f>
        <v>11500</v>
      </c>
    </row>
    <row r="9" spans="2:17" x14ac:dyDescent="0.4">
      <c r="B9" s="28" t="s">
        <v>2</v>
      </c>
      <c r="C9" s="7" t="s">
        <v>91</v>
      </c>
      <c r="D9" s="72">
        <v>200</v>
      </c>
      <c r="E9" s="72">
        <v>500</v>
      </c>
      <c r="F9" s="72">
        <v>500</v>
      </c>
      <c r="G9" s="72">
        <v>500</v>
      </c>
      <c r="H9" s="72">
        <v>500</v>
      </c>
      <c r="I9" s="72">
        <v>500</v>
      </c>
      <c r="J9" s="72">
        <v>500</v>
      </c>
      <c r="K9" s="72">
        <v>500</v>
      </c>
      <c r="L9" s="72">
        <v>500</v>
      </c>
      <c r="M9" s="72">
        <v>500</v>
      </c>
      <c r="N9" s="72">
        <v>500</v>
      </c>
      <c r="O9" s="72">
        <v>500</v>
      </c>
      <c r="P9" s="6">
        <f t="shared" ref="P9:P10" si="3">SUM(D9:O9)</f>
        <v>5700</v>
      </c>
      <c r="Q9" s="82">
        <f t="shared" si="2"/>
        <v>5700</v>
      </c>
    </row>
    <row r="10" spans="2:17" x14ac:dyDescent="0.4">
      <c r="B10" s="29" t="s">
        <v>3</v>
      </c>
      <c r="C10" s="7" t="s">
        <v>93</v>
      </c>
      <c r="D10" s="72">
        <v>300</v>
      </c>
      <c r="E10" s="72">
        <v>500</v>
      </c>
      <c r="F10" s="72">
        <v>500</v>
      </c>
      <c r="G10" s="72">
        <v>500</v>
      </c>
      <c r="H10" s="72">
        <v>500</v>
      </c>
      <c r="I10" s="72">
        <v>500</v>
      </c>
      <c r="J10" s="72">
        <v>500</v>
      </c>
      <c r="K10" s="72">
        <v>500</v>
      </c>
      <c r="L10" s="72">
        <v>500</v>
      </c>
      <c r="M10" s="72">
        <v>500</v>
      </c>
      <c r="N10" s="72">
        <v>500</v>
      </c>
      <c r="O10" s="72">
        <v>500</v>
      </c>
      <c r="P10" s="6">
        <f t="shared" si="3"/>
        <v>5800</v>
      </c>
      <c r="Q10" s="82">
        <f t="shared" si="2"/>
        <v>5800</v>
      </c>
    </row>
    <row r="11" spans="2:17" s="2" customFormat="1" x14ac:dyDescent="0.4">
      <c r="B11" s="64">
        <v>2</v>
      </c>
      <c r="C11" s="62" t="s">
        <v>57</v>
      </c>
      <c r="D11" s="6">
        <f>D8/D6</f>
        <v>0.33333333333333331</v>
      </c>
      <c r="E11" s="6">
        <f t="shared" ref="E11:O11" si="4">E8/E6</f>
        <v>0.5</v>
      </c>
      <c r="F11" s="6">
        <f t="shared" si="4"/>
        <v>0.33333333333333331</v>
      </c>
      <c r="G11" s="6">
        <f t="shared" si="4"/>
        <v>0.2</v>
      </c>
      <c r="H11" s="6">
        <f t="shared" si="4"/>
        <v>0.16666666666666666</v>
      </c>
      <c r="I11" s="6">
        <f t="shared" si="4"/>
        <v>0.5</v>
      </c>
      <c r="J11" s="6">
        <f t="shared" si="4"/>
        <v>0.25</v>
      </c>
      <c r="K11" s="6">
        <f t="shared" si="4"/>
        <v>0.33333333333333331</v>
      </c>
      <c r="L11" s="6">
        <f t="shared" si="4"/>
        <v>0.2</v>
      </c>
      <c r="M11" s="6">
        <f t="shared" si="4"/>
        <v>0.16666666666666666</v>
      </c>
      <c r="N11" s="6">
        <f t="shared" si="4"/>
        <v>0.33333333333333331</v>
      </c>
      <c r="O11" s="6">
        <f t="shared" si="4"/>
        <v>0.25</v>
      </c>
      <c r="P11" s="6">
        <f>P8/P6</f>
        <v>0.25842696629213485</v>
      </c>
      <c r="Q11" s="77">
        <f t="shared" si="2"/>
        <v>0.25842696629213485</v>
      </c>
    </row>
    <row r="12" spans="2:17" x14ac:dyDescent="0.4">
      <c r="B12" s="26">
        <v>3</v>
      </c>
      <c r="C12" s="4" t="s">
        <v>51</v>
      </c>
      <c r="D12" s="5">
        <f>SUM(D13:D15)</f>
        <v>400</v>
      </c>
      <c r="E12" s="5">
        <f t="shared" ref="E12:O12" si="5">SUM(E13:E15)</f>
        <v>250</v>
      </c>
      <c r="F12" s="5">
        <f t="shared" si="5"/>
        <v>300</v>
      </c>
      <c r="G12" s="5">
        <f t="shared" si="5"/>
        <v>300</v>
      </c>
      <c r="H12" s="5">
        <f t="shared" si="5"/>
        <v>300</v>
      </c>
      <c r="I12" s="5">
        <f t="shared" si="5"/>
        <v>300</v>
      </c>
      <c r="J12" s="5">
        <f t="shared" si="5"/>
        <v>300</v>
      </c>
      <c r="K12" s="5">
        <f t="shared" si="5"/>
        <v>300</v>
      </c>
      <c r="L12" s="5">
        <f t="shared" si="5"/>
        <v>300</v>
      </c>
      <c r="M12" s="5">
        <f t="shared" si="5"/>
        <v>300</v>
      </c>
      <c r="N12" s="5">
        <f t="shared" si="5"/>
        <v>300</v>
      </c>
      <c r="O12" s="5">
        <f t="shared" si="5"/>
        <v>300</v>
      </c>
      <c r="P12" s="5">
        <f>SUM(P13:P15)</f>
        <v>300</v>
      </c>
      <c r="Q12" s="77">
        <f>P12</f>
        <v>300</v>
      </c>
    </row>
    <row r="13" spans="2:17" x14ac:dyDescent="0.4">
      <c r="B13" s="26"/>
      <c r="C13" s="8" t="s">
        <v>43</v>
      </c>
      <c r="D13" s="72">
        <v>100</v>
      </c>
      <c r="E13" s="72">
        <v>50</v>
      </c>
      <c r="F13" s="72">
        <v>100</v>
      </c>
      <c r="G13" s="72">
        <v>100</v>
      </c>
      <c r="H13" s="72">
        <v>100</v>
      </c>
      <c r="I13" s="72">
        <v>100</v>
      </c>
      <c r="J13" s="72">
        <v>100</v>
      </c>
      <c r="K13" s="72">
        <v>100</v>
      </c>
      <c r="L13" s="72">
        <v>100</v>
      </c>
      <c r="M13" s="72">
        <v>100</v>
      </c>
      <c r="N13" s="72">
        <v>100</v>
      </c>
      <c r="O13" s="72">
        <v>100</v>
      </c>
      <c r="P13" s="6">
        <v>100</v>
      </c>
      <c r="Q13" s="82">
        <f t="shared" ref="Q13:Q15" si="6">P13</f>
        <v>100</v>
      </c>
    </row>
    <row r="14" spans="2:17" x14ac:dyDescent="0.4">
      <c r="B14" s="26"/>
      <c r="C14" s="8" t="s">
        <v>44</v>
      </c>
      <c r="D14" s="72">
        <v>200</v>
      </c>
      <c r="E14" s="72">
        <v>100</v>
      </c>
      <c r="F14" s="72">
        <v>100</v>
      </c>
      <c r="G14" s="72">
        <v>100</v>
      </c>
      <c r="H14" s="72">
        <v>100</v>
      </c>
      <c r="I14" s="72">
        <v>100</v>
      </c>
      <c r="J14" s="72">
        <v>100</v>
      </c>
      <c r="K14" s="72">
        <v>100</v>
      </c>
      <c r="L14" s="72">
        <v>100</v>
      </c>
      <c r="M14" s="72">
        <v>100</v>
      </c>
      <c r="N14" s="72">
        <v>100</v>
      </c>
      <c r="O14" s="72">
        <v>100</v>
      </c>
      <c r="P14" s="6">
        <v>100</v>
      </c>
      <c r="Q14" s="82">
        <f t="shared" si="6"/>
        <v>100</v>
      </c>
    </row>
    <row r="15" spans="2:17" x14ac:dyDescent="0.4">
      <c r="B15" s="26"/>
      <c r="C15" s="8" t="s">
        <v>45</v>
      </c>
      <c r="D15" s="72">
        <v>100</v>
      </c>
      <c r="E15" s="72">
        <v>100</v>
      </c>
      <c r="F15" s="72">
        <v>100</v>
      </c>
      <c r="G15" s="72">
        <v>100</v>
      </c>
      <c r="H15" s="72">
        <v>100</v>
      </c>
      <c r="I15" s="72">
        <v>100</v>
      </c>
      <c r="J15" s="72">
        <v>100</v>
      </c>
      <c r="K15" s="72">
        <v>100</v>
      </c>
      <c r="L15" s="72">
        <v>100</v>
      </c>
      <c r="M15" s="72">
        <v>100</v>
      </c>
      <c r="N15" s="72">
        <v>100</v>
      </c>
      <c r="O15" s="72">
        <v>100</v>
      </c>
      <c r="P15" s="6">
        <v>100</v>
      </c>
      <c r="Q15" s="82">
        <f t="shared" si="6"/>
        <v>100</v>
      </c>
    </row>
    <row r="16" spans="2:17" x14ac:dyDescent="0.4">
      <c r="B16" s="26">
        <v>4</v>
      </c>
      <c r="C16" s="4" t="s">
        <v>51</v>
      </c>
      <c r="D16" s="5">
        <f>D12*D11</f>
        <v>133.33333333333331</v>
      </c>
      <c r="E16" s="5">
        <f t="shared" ref="E16:N16" si="7">E12*E11</f>
        <v>125</v>
      </c>
      <c r="F16" s="5">
        <f t="shared" si="7"/>
        <v>100</v>
      </c>
      <c r="G16" s="5">
        <f t="shared" si="7"/>
        <v>60</v>
      </c>
      <c r="H16" s="5">
        <f t="shared" si="7"/>
        <v>50</v>
      </c>
      <c r="I16" s="5">
        <f t="shared" si="7"/>
        <v>150</v>
      </c>
      <c r="J16" s="5">
        <f t="shared" si="7"/>
        <v>75</v>
      </c>
      <c r="K16" s="5">
        <f t="shared" si="7"/>
        <v>100</v>
      </c>
      <c r="L16" s="5">
        <f t="shared" si="7"/>
        <v>60</v>
      </c>
      <c r="M16" s="5">
        <f t="shared" si="7"/>
        <v>50</v>
      </c>
      <c r="N16" s="5">
        <f t="shared" si="7"/>
        <v>100</v>
      </c>
      <c r="O16" s="5">
        <f>O12*O11</f>
        <v>75</v>
      </c>
      <c r="P16" s="5">
        <f>P12*P11</f>
        <v>77.528089887640462</v>
      </c>
      <c r="Q16" s="77">
        <f>Q12*Q11</f>
        <v>77.528089887640462</v>
      </c>
    </row>
    <row r="17" spans="2:17" x14ac:dyDescent="0.4">
      <c r="B17" s="26"/>
      <c r="C17" s="12"/>
      <c r="D17" s="6"/>
      <c r="E17" s="6"/>
      <c r="F17" s="6"/>
      <c r="G17" s="6"/>
      <c r="H17" s="6"/>
      <c r="I17" s="6"/>
      <c r="J17" s="6"/>
      <c r="K17" s="6"/>
      <c r="L17" s="6"/>
      <c r="M17" s="6"/>
      <c r="N17" s="6"/>
      <c r="O17" s="6"/>
      <c r="P17" s="6"/>
      <c r="Q17" s="82"/>
    </row>
    <row r="18" spans="2:17" x14ac:dyDescent="0.4">
      <c r="B18" s="59" t="s">
        <v>20</v>
      </c>
      <c r="C18" s="60" t="s">
        <v>94</v>
      </c>
      <c r="D18" s="119"/>
      <c r="E18" s="120"/>
      <c r="F18" s="120"/>
      <c r="G18" s="120"/>
      <c r="H18" s="120"/>
      <c r="I18" s="120"/>
      <c r="J18" s="120"/>
      <c r="K18" s="120"/>
      <c r="L18" s="120"/>
      <c r="M18" s="120"/>
      <c r="N18" s="120"/>
      <c r="O18" s="120"/>
      <c r="P18" s="120"/>
      <c r="Q18" s="82">
        <f>P18</f>
        <v>0</v>
      </c>
    </row>
    <row r="19" spans="2:17" s="91" customFormat="1" x14ac:dyDescent="0.4">
      <c r="B19" s="87">
        <v>1</v>
      </c>
      <c r="C19" s="66" t="s">
        <v>98</v>
      </c>
      <c r="D19" s="5">
        <f>D20+D21</f>
        <v>0</v>
      </c>
      <c r="E19" s="5">
        <f t="shared" ref="E19:O19" si="8">E20+E21</f>
        <v>0</v>
      </c>
      <c r="F19" s="5">
        <f t="shared" si="8"/>
        <v>0</v>
      </c>
      <c r="G19" s="5">
        <f t="shared" si="8"/>
        <v>0</v>
      </c>
      <c r="H19" s="5">
        <f t="shared" si="8"/>
        <v>0</v>
      </c>
      <c r="I19" s="5">
        <f t="shared" si="8"/>
        <v>0</v>
      </c>
      <c r="J19" s="5">
        <f t="shared" si="8"/>
        <v>0</v>
      </c>
      <c r="K19" s="5">
        <f t="shared" si="8"/>
        <v>0</v>
      </c>
      <c r="L19" s="5">
        <f t="shared" si="8"/>
        <v>0</v>
      </c>
      <c r="M19" s="5">
        <f t="shared" si="8"/>
        <v>0</v>
      </c>
      <c r="N19" s="5">
        <f t="shared" si="8"/>
        <v>0</v>
      </c>
      <c r="O19" s="5">
        <f t="shared" si="8"/>
        <v>0</v>
      </c>
      <c r="P19" s="5">
        <f>P20+P21</f>
        <v>0</v>
      </c>
      <c r="Q19" s="77">
        <f>P19</f>
        <v>0</v>
      </c>
    </row>
    <row r="20" spans="2:17" x14ac:dyDescent="0.4">
      <c r="B20" s="67"/>
      <c r="C20" s="68" t="s">
        <v>92</v>
      </c>
      <c r="D20" s="73"/>
      <c r="E20" s="73"/>
      <c r="F20" s="73"/>
      <c r="G20" s="73"/>
      <c r="H20" s="73"/>
      <c r="I20" s="73"/>
      <c r="J20" s="73"/>
      <c r="K20" s="73"/>
      <c r="L20" s="73"/>
      <c r="M20" s="73"/>
      <c r="N20" s="73"/>
      <c r="O20" s="73"/>
      <c r="P20" s="6">
        <f>SUM(D20:O20)</f>
        <v>0</v>
      </c>
      <c r="Q20" s="82">
        <f>P20</f>
        <v>0</v>
      </c>
    </row>
    <row r="21" spans="2:17" x14ac:dyDescent="0.4">
      <c r="B21" s="67"/>
      <c r="C21" s="68" t="s">
        <v>21</v>
      </c>
      <c r="D21" s="9">
        <f>SUM(D22:D26)</f>
        <v>0</v>
      </c>
      <c r="E21" s="9">
        <f t="shared" ref="E21:O21" si="9">SUM(E22:E26)</f>
        <v>0</v>
      </c>
      <c r="F21" s="9">
        <f t="shared" si="9"/>
        <v>0</v>
      </c>
      <c r="G21" s="9">
        <f t="shared" si="9"/>
        <v>0</v>
      </c>
      <c r="H21" s="9">
        <f t="shared" si="9"/>
        <v>0</v>
      </c>
      <c r="I21" s="9">
        <f t="shared" si="9"/>
        <v>0</v>
      </c>
      <c r="J21" s="9">
        <f t="shared" si="9"/>
        <v>0</v>
      </c>
      <c r="K21" s="9">
        <f t="shared" si="9"/>
        <v>0</v>
      </c>
      <c r="L21" s="9">
        <f t="shared" si="9"/>
        <v>0</v>
      </c>
      <c r="M21" s="9">
        <f t="shared" si="9"/>
        <v>0</v>
      </c>
      <c r="N21" s="9">
        <f t="shared" si="9"/>
        <v>0</v>
      </c>
      <c r="O21" s="9">
        <f t="shared" si="9"/>
        <v>0</v>
      </c>
      <c r="P21" s="9">
        <f>SUM(P22:P26)</f>
        <v>0</v>
      </c>
      <c r="Q21" s="82">
        <f>P21</f>
        <v>0</v>
      </c>
    </row>
    <row r="22" spans="2:17" x14ac:dyDescent="0.4">
      <c r="B22" s="69" t="s">
        <v>2</v>
      </c>
      <c r="C22" s="70" t="s">
        <v>91</v>
      </c>
      <c r="D22" s="74"/>
      <c r="E22" s="74"/>
      <c r="F22" s="74"/>
      <c r="G22" s="74"/>
      <c r="H22" s="74"/>
      <c r="I22" s="74"/>
      <c r="J22" s="74"/>
      <c r="K22" s="74"/>
      <c r="L22" s="74"/>
      <c r="M22" s="74"/>
      <c r="N22" s="74"/>
      <c r="O22" s="74"/>
      <c r="P22" s="6">
        <f>SUM(D22:O22)</f>
        <v>0</v>
      </c>
      <c r="Q22" s="82">
        <f t="shared" ref="Q22:Q31" si="10">P22</f>
        <v>0</v>
      </c>
    </row>
    <row r="23" spans="2:17" x14ac:dyDescent="0.4">
      <c r="B23" s="69" t="s">
        <v>3</v>
      </c>
      <c r="C23" s="70" t="s">
        <v>93</v>
      </c>
      <c r="D23" s="74"/>
      <c r="E23" s="74"/>
      <c r="F23" s="74"/>
      <c r="G23" s="74"/>
      <c r="H23" s="74"/>
      <c r="I23" s="74"/>
      <c r="J23" s="74"/>
      <c r="K23" s="74"/>
      <c r="L23" s="74"/>
      <c r="M23" s="74"/>
      <c r="N23" s="74"/>
      <c r="O23" s="74"/>
      <c r="P23" s="6">
        <f t="shared" ref="P23:P26" si="11">SUM(D23:O23)</f>
        <v>0</v>
      </c>
      <c r="Q23" s="82">
        <f t="shared" si="10"/>
        <v>0</v>
      </c>
    </row>
    <row r="24" spans="2:17" x14ac:dyDescent="0.4">
      <c r="B24" s="71" t="s">
        <v>40</v>
      </c>
      <c r="C24" s="70" t="s">
        <v>18</v>
      </c>
      <c r="D24" s="74"/>
      <c r="E24" s="74"/>
      <c r="F24" s="74"/>
      <c r="G24" s="74"/>
      <c r="H24" s="74"/>
      <c r="I24" s="74"/>
      <c r="J24" s="74"/>
      <c r="K24" s="74"/>
      <c r="L24" s="74"/>
      <c r="M24" s="74"/>
      <c r="N24" s="74"/>
      <c r="O24" s="74"/>
      <c r="P24" s="6">
        <f t="shared" si="11"/>
        <v>0</v>
      </c>
      <c r="Q24" s="82">
        <f t="shared" si="10"/>
        <v>0</v>
      </c>
    </row>
    <row r="25" spans="2:17" x14ac:dyDescent="0.4">
      <c r="B25" s="71" t="s">
        <v>41</v>
      </c>
      <c r="C25" s="70" t="s">
        <v>4</v>
      </c>
      <c r="D25" s="74"/>
      <c r="E25" s="74"/>
      <c r="F25" s="74"/>
      <c r="G25" s="74"/>
      <c r="H25" s="74"/>
      <c r="I25" s="74"/>
      <c r="J25" s="74"/>
      <c r="K25" s="74"/>
      <c r="L25" s="74"/>
      <c r="M25" s="74"/>
      <c r="N25" s="74"/>
      <c r="O25" s="74"/>
      <c r="P25" s="6">
        <f t="shared" si="11"/>
        <v>0</v>
      </c>
      <c r="Q25" s="82">
        <f t="shared" si="10"/>
        <v>0</v>
      </c>
    </row>
    <row r="26" spans="2:17" x14ac:dyDescent="0.4">
      <c r="B26" s="71" t="s">
        <v>42</v>
      </c>
      <c r="C26" s="70" t="s">
        <v>5</v>
      </c>
      <c r="D26" s="74"/>
      <c r="E26" s="74"/>
      <c r="F26" s="74"/>
      <c r="G26" s="74"/>
      <c r="H26" s="74"/>
      <c r="I26" s="74"/>
      <c r="J26" s="74"/>
      <c r="K26" s="74"/>
      <c r="L26" s="74"/>
      <c r="M26" s="74"/>
      <c r="N26" s="74"/>
      <c r="O26" s="74"/>
      <c r="P26" s="6">
        <f t="shared" si="11"/>
        <v>0</v>
      </c>
      <c r="Q26" s="82">
        <f t="shared" si="10"/>
        <v>0</v>
      </c>
    </row>
    <row r="27" spans="2:17" s="90" customFormat="1" x14ac:dyDescent="0.4">
      <c r="B27" s="88">
        <v>2</v>
      </c>
      <c r="C27" s="89" t="s">
        <v>57</v>
      </c>
      <c r="D27" s="5" t="e">
        <f>D21/D19</f>
        <v>#DIV/0!</v>
      </c>
      <c r="E27" s="5" t="e">
        <f t="shared" ref="E27:O27" si="12">E21/E19</f>
        <v>#DIV/0!</v>
      </c>
      <c r="F27" s="5" t="e">
        <f t="shared" si="12"/>
        <v>#DIV/0!</v>
      </c>
      <c r="G27" s="5" t="e">
        <f t="shared" si="12"/>
        <v>#DIV/0!</v>
      </c>
      <c r="H27" s="5" t="e">
        <f t="shared" si="12"/>
        <v>#DIV/0!</v>
      </c>
      <c r="I27" s="5" t="e">
        <f t="shared" si="12"/>
        <v>#DIV/0!</v>
      </c>
      <c r="J27" s="5" t="e">
        <f t="shared" si="12"/>
        <v>#DIV/0!</v>
      </c>
      <c r="K27" s="5" t="e">
        <f t="shared" si="12"/>
        <v>#DIV/0!</v>
      </c>
      <c r="L27" s="5" t="e">
        <f t="shared" si="12"/>
        <v>#DIV/0!</v>
      </c>
      <c r="M27" s="5" t="e">
        <f t="shared" si="12"/>
        <v>#DIV/0!</v>
      </c>
      <c r="N27" s="5" t="e">
        <f t="shared" si="12"/>
        <v>#DIV/0!</v>
      </c>
      <c r="O27" s="5" t="e">
        <f t="shared" si="12"/>
        <v>#DIV/0!</v>
      </c>
      <c r="P27" s="5" t="e">
        <f>P21/P19</f>
        <v>#DIV/0!</v>
      </c>
      <c r="Q27" s="77" t="e">
        <f>Q21/Q19</f>
        <v>#DIV/0!</v>
      </c>
    </row>
    <row r="28" spans="2:17" s="91" customFormat="1" x14ac:dyDescent="0.4">
      <c r="B28" s="87">
        <v>3</v>
      </c>
      <c r="C28" s="66" t="s">
        <v>51</v>
      </c>
      <c r="D28" s="5">
        <f>SUM(D29:D31)</f>
        <v>0</v>
      </c>
      <c r="E28" s="5">
        <f t="shared" ref="E28:O28" si="13">SUM(E29:E31)</f>
        <v>0</v>
      </c>
      <c r="F28" s="5">
        <f t="shared" si="13"/>
        <v>0</v>
      </c>
      <c r="G28" s="5">
        <f t="shared" si="13"/>
        <v>0</v>
      </c>
      <c r="H28" s="5">
        <f t="shared" si="13"/>
        <v>0</v>
      </c>
      <c r="I28" s="5">
        <f t="shared" si="13"/>
        <v>0</v>
      </c>
      <c r="J28" s="5">
        <f t="shared" si="13"/>
        <v>0</v>
      </c>
      <c r="K28" s="5">
        <f t="shared" si="13"/>
        <v>0</v>
      </c>
      <c r="L28" s="5">
        <f t="shared" si="13"/>
        <v>0</v>
      </c>
      <c r="M28" s="5">
        <f t="shared" si="13"/>
        <v>0</v>
      </c>
      <c r="N28" s="5">
        <f t="shared" si="13"/>
        <v>0</v>
      </c>
      <c r="O28" s="5">
        <f t="shared" si="13"/>
        <v>0</v>
      </c>
      <c r="P28" s="5">
        <f>SUM(P29:P31)</f>
        <v>0</v>
      </c>
      <c r="Q28" s="77">
        <f t="shared" si="10"/>
        <v>0</v>
      </c>
    </row>
    <row r="29" spans="2:17" x14ac:dyDescent="0.4">
      <c r="B29" s="26"/>
      <c r="C29" s="8" t="s">
        <v>43</v>
      </c>
      <c r="D29" s="74"/>
      <c r="E29" s="74"/>
      <c r="F29" s="75"/>
      <c r="G29" s="75"/>
      <c r="H29" s="75"/>
      <c r="I29" s="75"/>
      <c r="J29" s="75"/>
      <c r="K29" s="75"/>
      <c r="L29" s="75"/>
      <c r="M29" s="75"/>
      <c r="N29" s="75"/>
      <c r="O29" s="75"/>
      <c r="P29" s="6"/>
      <c r="Q29" s="82">
        <f t="shared" si="10"/>
        <v>0</v>
      </c>
    </row>
    <row r="30" spans="2:17" x14ac:dyDescent="0.4">
      <c r="B30" s="26"/>
      <c r="C30" s="8" t="s">
        <v>44</v>
      </c>
      <c r="D30" s="74"/>
      <c r="E30" s="74"/>
      <c r="F30" s="75"/>
      <c r="G30" s="75"/>
      <c r="H30" s="75"/>
      <c r="I30" s="75"/>
      <c r="J30" s="75"/>
      <c r="K30" s="75"/>
      <c r="L30" s="75"/>
      <c r="M30" s="75"/>
      <c r="N30" s="75"/>
      <c r="O30" s="75"/>
      <c r="P30" s="6"/>
      <c r="Q30" s="82">
        <f t="shared" si="10"/>
        <v>0</v>
      </c>
    </row>
    <row r="31" spans="2:17" x14ac:dyDescent="0.4">
      <c r="B31" s="26"/>
      <c r="C31" s="8" t="s">
        <v>45</v>
      </c>
      <c r="D31" s="74"/>
      <c r="E31" s="74"/>
      <c r="F31" s="75"/>
      <c r="G31" s="75"/>
      <c r="H31" s="75"/>
      <c r="I31" s="75"/>
      <c r="J31" s="75"/>
      <c r="K31" s="75"/>
      <c r="L31" s="75"/>
      <c r="M31" s="75"/>
      <c r="N31" s="75"/>
      <c r="O31" s="75"/>
      <c r="P31" s="6"/>
      <c r="Q31" s="82">
        <f t="shared" si="10"/>
        <v>0</v>
      </c>
    </row>
    <row r="32" spans="2:17" s="91" customFormat="1" x14ac:dyDescent="0.4">
      <c r="B32" s="26">
        <v>4</v>
      </c>
      <c r="C32" s="4" t="s">
        <v>51</v>
      </c>
      <c r="D32" s="5" t="e">
        <f>D27*D28</f>
        <v>#DIV/0!</v>
      </c>
      <c r="E32" s="5" t="e">
        <f t="shared" ref="E32:O32" si="14">E28*E27</f>
        <v>#DIV/0!</v>
      </c>
      <c r="F32" s="5" t="e">
        <f t="shared" si="14"/>
        <v>#DIV/0!</v>
      </c>
      <c r="G32" s="5" t="e">
        <f t="shared" si="14"/>
        <v>#DIV/0!</v>
      </c>
      <c r="H32" s="5" t="e">
        <f t="shared" si="14"/>
        <v>#DIV/0!</v>
      </c>
      <c r="I32" s="5" t="e">
        <f t="shared" si="14"/>
        <v>#DIV/0!</v>
      </c>
      <c r="J32" s="5" t="e">
        <f t="shared" si="14"/>
        <v>#DIV/0!</v>
      </c>
      <c r="K32" s="5" t="e">
        <f t="shared" si="14"/>
        <v>#DIV/0!</v>
      </c>
      <c r="L32" s="5" t="e">
        <f t="shared" si="14"/>
        <v>#DIV/0!</v>
      </c>
      <c r="M32" s="5" t="e">
        <f t="shared" si="14"/>
        <v>#DIV/0!</v>
      </c>
      <c r="N32" s="5" t="e">
        <f t="shared" si="14"/>
        <v>#DIV/0!</v>
      </c>
      <c r="O32" s="5" t="e">
        <f t="shared" si="14"/>
        <v>#DIV/0!</v>
      </c>
      <c r="P32" s="5" t="e">
        <f>P28*P27</f>
        <v>#DIV/0!</v>
      </c>
      <c r="Q32" s="77" t="e">
        <f>Q27+Q28</f>
        <v>#DIV/0!</v>
      </c>
    </row>
    <row r="33" spans="2:17" s="2" customFormat="1" x14ac:dyDescent="0.4">
      <c r="B33" s="76"/>
      <c r="C33" s="12"/>
      <c r="D33" s="9"/>
      <c r="E33" s="9"/>
      <c r="F33" s="65"/>
      <c r="G33" s="65"/>
      <c r="H33" s="65"/>
      <c r="I33" s="65"/>
      <c r="J33" s="65"/>
      <c r="K33" s="65"/>
      <c r="L33" s="65"/>
      <c r="M33" s="65"/>
      <c r="N33" s="65"/>
      <c r="O33" s="65"/>
      <c r="P33" s="6"/>
      <c r="Q33" s="83"/>
    </row>
    <row r="34" spans="2:17" x14ac:dyDescent="0.4">
      <c r="B34" s="26" t="s">
        <v>25</v>
      </c>
      <c r="C34" s="4" t="s">
        <v>56</v>
      </c>
      <c r="D34" s="10" t="e">
        <f>D16+D32</f>
        <v>#DIV/0!</v>
      </c>
      <c r="E34" s="10" t="e">
        <f t="shared" ref="E34:O34" si="15">E16+E32</f>
        <v>#DIV/0!</v>
      </c>
      <c r="F34" s="10" t="e">
        <f t="shared" si="15"/>
        <v>#DIV/0!</v>
      </c>
      <c r="G34" s="10" t="e">
        <f t="shared" si="15"/>
        <v>#DIV/0!</v>
      </c>
      <c r="H34" s="10" t="e">
        <f t="shared" si="15"/>
        <v>#DIV/0!</v>
      </c>
      <c r="I34" s="10" t="e">
        <f t="shared" si="15"/>
        <v>#DIV/0!</v>
      </c>
      <c r="J34" s="10" t="e">
        <f t="shared" si="15"/>
        <v>#DIV/0!</v>
      </c>
      <c r="K34" s="10" t="e">
        <f t="shared" si="15"/>
        <v>#DIV/0!</v>
      </c>
      <c r="L34" s="10" t="e">
        <f t="shared" si="15"/>
        <v>#DIV/0!</v>
      </c>
      <c r="M34" s="10" t="e">
        <f t="shared" si="15"/>
        <v>#DIV/0!</v>
      </c>
      <c r="N34" s="10" t="e">
        <f t="shared" si="15"/>
        <v>#DIV/0!</v>
      </c>
      <c r="O34" s="10" t="e">
        <f t="shared" si="15"/>
        <v>#DIV/0!</v>
      </c>
      <c r="P34" s="10" t="e">
        <f>P16+P32</f>
        <v>#DIV/0!</v>
      </c>
      <c r="Q34" s="84"/>
    </row>
    <row r="35" spans="2:17" x14ac:dyDescent="0.4">
      <c r="B35" s="26" t="s">
        <v>26</v>
      </c>
      <c r="C35" s="4" t="s">
        <v>62</v>
      </c>
      <c r="D35" s="111"/>
      <c r="E35" s="112"/>
      <c r="F35" s="112"/>
      <c r="G35" s="112"/>
      <c r="H35" s="112"/>
      <c r="I35" s="112"/>
      <c r="J35" s="112"/>
      <c r="K35" s="112"/>
      <c r="L35" s="112"/>
      <c r="M35" s="112"/>
      <c r="N35" s="112"/>
      <c r="O35" s="112"/>
      <c r="P35" s="113"/>
      <c r="Q35" s="82" t="e">
        <f>Q32+Q16</f>
        <v>#DIV/0!</v>
      </c>
    </row>
    <row r="36" spans="2:17" x14ac:dyDescent="0.4">
      <c r="B36" s="26" t="s">
        <v>27</v>
      </c>
      <c r="C36" s="4" t="s">
        <v>49</v>
      </c>
      <c r="D36" s="102"/>
      <c r="E36" s="102"/>
      <c r="F36" s="103"/>
      <c r="G36" s="103"/>
      <c r="H36" s="103"/>
      <c r="I36" s="103"/>
      <c r="J36" s="103"/>
      <c r="K36" s="103"/>
      <c r="L36" s="103"/>
      <c r="M36" s="103"/>
      <c r="N36" s="103"/>
      <c r="O36" s="103"/>
      <c r="P36" s="16"/>
      <c r="Q36" s="82">
        <f>P36</f>
        <v>0</v>
      </c>
    </row>
    <row r="37" spans="2:17" ht="14.25" thickBot="1" x14ac:dyDescent="0.45">
      <c r="B37" s="30" t="s">
        <v>61</v>
      </c>
      <c r="C37" s="31" t="s">
        <v>50</v>
      </c>
      <c r="D37" s="32" t="e">
        <f>D34-D36</f>
        <v>#DIV/0!</v>
      </c>
      <c r="E37" s="32" t="e">
        <f t="shared" ref="E37:P37" si="16">E34-E36</f>
        <v>#DIV/0!</v>
      </c>
      <c r="F37" s="32" t="e">
        <f t="shared" si="16"/>
        <v>#DIV/0!</v>
      </c>
      <c r="G37" s="32" t="e">
        <f t="shared" si="16"/>
        <v>#DIV/0!</v>
      </c>
      <c r="H37" s="32" t="e">
        <f t="shared" si="16"/>
        <v>#DIV/0!</v>
      </c>
      <c r="I37" s="32" t="e">
        <f t="shared" si="16"/>
        <v>#DIV/0!</v>
      </c>
      <c r="J37" s="32" t="e">
        <f t="shared" si="16"/>
        <v>#DIV/0!</v>
      </c>
      <c r="K37" s="32" t="e">
        <f t="shared" si="16"/>
        <v>#DIV/0!</v>
      </c>
      <c r="L37" s="32" t="e">
        <f t="shared" si="16"/>
        <v>#DIV/0!</v>
      </c>
      <c r="M37" s="32" t="e">
        <f t="shared" si="16"/>
        <v>#DIV/0!</v>
      </c>
      <c r="N37" s="32" t="e">
        <f t="shared" si="16"/>
        <v>#DIV/0!</v>
      </c>
      <c r="O37" s="32" t="e">
        <f t="shared" si="16"/>
        <v>#DIV/0!</v>
      </c>
      <c r="P37" s="32" t="e">
        <f t="shared" si="16"/>
        <v>#DIV/0!</v>
      </c>
      <c r="Q37" s="85" t="e">
        <f>Q35-Q36</f>
        <v>#DIV/0!</v>
      </c>
    </row>
    <row r="38" spans="2:17" x14ac:dyDescent="0.4">
      <c r="B38" s="13"/>
      <c r="C38" s="13"/>
      <c r="D38" s="14"/>
      <c r="E38" s="14"/>
      <c r="F38" s="15"/>
      <c r="G38" s="15"/>
      <c r="H38" s="15"/>
      <c r="I38" s="15"/>
      <c r="J38" s="15"/>
      <c r="K38" s="15"/>
      <c r="L38" s="15"/>
      <c r="M38" s="15"/>
      <c r="N38" s="15"/>
      <c r="O38" s="15"/>
      <c r="P38" s="17"/>
      <c r="Q38" s="86"/>
    </row>
    <row r="39" spans="2:17" x14ac:dyDescent="0.4">
      <c r="B39" s="13"/>
      <c r="C39" s="13"/>
      <c r="D39" s="14"/>
      <c r="E39" s="14"/>
      <c r="F39" s="15"/>
      <c r="G39" s="15"/>
      <c r="H39" s="15"/>
      <c r="I39" s="15"/>
      <c r="J39" s="15"/>
      <c r="K39" s="15"/>
      <c r="L39" s="15"/>
      <c r="M39" s="15"/>
      <c r="N39" s="15"/>
      <c r="O39" s="15"/>
      <c r="P39" s="17"/>
      <c r="Q39" s="86"/>
    </row>
  </sheetData>
  <mergeCells count="5">
    <mergeCell ref="D35:P35"/>
    <mergeCell ref="D2:P2"/>
    <mergeCell ref="D4:P4"/>
    <mergeCell ref="D5:P5"/>
    <mergeCell ref="D18:P18"/>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程序及说明</vt:lpstr>
      <vt:lpstr>进项转出汇总表</vt:lpstr>
      <vt:lpstr>项目1</vt:lpstr>
      <vt:lpstr>项目2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user23</dc:creator>
  <cp:lastModifiedBy>user23</cp:lastModifiedBy>
  <dcterms:created xsi:type="dcterms:W3CDTF">2025-12-17T06:08:58Z</dcterms:created>
  <dcterms:modified xsi:type="dcterms:W3CDTF">2025-12-18T08:57:03Z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_IPGFID">
    <vt:lpwstr>[DocID]=3EFF8329-C649-4C29-B5FF-04C537E3FA10</vt:lpwstr>
  </op:property>
  <op:property fmtid="{D5CDD505-2E9C-101B-9397-08002B2CF9AE}" pid="3" name="_IPGFLOW_P-84A9_E-0_CV-88520CEC_CN-F8B0BFAF">
    <vt:lpwstr>DPFPMK|3|50|1|0</vt:lpwstr>
  </op:property>
  <op:property fmtid="{D5CDD505-2E9C-101B-9397-08002B2CF9AE}" pid="4" name="_IPGFLOW_P-84A9_E-1_FP-1_SP-1_CV-A31B139_CN-5540BF10">
    <vt:lpwstr>Oo1pbYKOmQHU+b2rvL+IySGRPeyPbRBofZ+oHtfME1tQ/BFiwor+V/11h233PCk3LxxldMi72j6bUdsYoDWTXT8TTWCuw+cVP+vi1rwGjaVSSFsoZbejx08P1rNdFELa7PxVLXNvCns5kW91iTm7CASzZMkZmzgX5dJXupTrfbkn9TYEvQtlFszuJBTqxnLUKXhB/Pt0DFcidy/D/41+oFyHULvU8l/1YPD/xGQbSESGFVU79GRP3GmidTVu+Ds</vt:lpwstr>
  </op:property>
  <op:property fmtid="{D5CDD505-2E9C-101B-9397-08002B2CF9AE}" pid="5" name="_IPGFLOW_P-84A9_E-1_FP-1_SP-2_CV-B1CD0DEB_CN-50CA93CE">
    <vt:lpwstr>y3fSbhTgQjyXQ4wLg8hypg3fjFdxnpjq7kDHnxmSgls/NbDEgKBDwl5Qz7UIwerTriUMgDcJvM5QO1ZrVzQslu5OfGrOwTkMmb54edq5SwPjDCJv5CXpF0VVo06HAoSM36+PYRs1GcwUP4FHNYlWnN+gYXCQZFUN/JRl402Sy7V4iD6/mBVwMP0cmTVf/8LBYXSWarnHuBfxKm/AqoUu4ZlXVlj3wlgf4HpeqfEM9SIhx1IDIBURtS1ruqqso+E</vt:lpwstr>
  </op:property>
  <op:property fmtid="{D5CDD505-2E9C-101B-9397-08002B2CF9AE}" pid="6" name="_IPGFLOW_P-84A9_E-1_FP-1_SP-3_CV-B9DBBD5E_CN-5C9B4576">
    <vt:lpwstr>6qDWwdkphYLQm517wIukQvfFzSER3LqMhrEvSkYwZlfhhAO7n+v/CCgckHFRlDKsT8</vt:lpwstr>
  </op:property>
  <op:property fmtid="{D5CDD505-2E9C-101B-9397-08002B2CF9AE}" pid="7" name="_IPGFLOW_P-84A9_E-0_FP-1_CV-FECC4B3B_CN-4FCA740D">
    <vt:lpwstr>DPSPMK|3|576|3|0</vt:lpwstr>
  </op:property>
</op:Properties>
</file>