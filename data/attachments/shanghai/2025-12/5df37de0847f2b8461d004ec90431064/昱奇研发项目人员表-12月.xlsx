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firstSheet="3" activeTab="1"/>
  </bookViews>
  <sheets>
    <sheet name="人员表" sheetId="2" r:id="rId1"/>
    <sheet name="项目人员总表" sheetId="3" r:id="rId2"/>
    <sheet name="RD02建筑工地扬尘防治系统的研发（已结束）" sheetId="4" r:id="rId3"/>
    <sheet name="RD04建筑施工全流程管控平台的开发" sheetId="5" r:id="rId4"/>
    <sheet name="RD07电力施工管理平台的开发" sheetId="6" r:id="rId5"/>
  </sheets>
  <externalReferences>
    <externalReference r:id="rId6"/>
  </externalReferences>
  <definedNames>
    <definedName name="_xlnm._FilterDatabase" localSheetId="0" hidden="1">人员表!$A$2:$L$70</definedName>
    <definedName name="_xlnm._FilterDatabase" localSheetId="1" hidden="1">项目人员总表!$A$4:$T$50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<sst xmlns="http://schemas.openxmlformats.org/spreadsheetml/2006/main" count="877" uniqueCount="224">
  <si>
    <t>序号</t>
  </si>
  <si>
    <t>部门</t>
  </si>
  <si>
    <t>姓名</t>
  </si>
  <si>
    <t>身份证</t>
  </si>
  <si>
    <t>社保缴纳月份</t>
  </si>
  <si>
    <t>入职时间</t>
  </si>
  <si>
    <t>学历</t>
  </si>
  <si>
    <t>学校</t>
  </si>
  <si>
    <t>专业</t>
  </si>
  <si>
    <t>备注</t>
  </si>
  <si>
    <t>昱奇工程</t>
  </si>
  <si>
    <t>张鸿志</t>
  </si>
  <si>
    <t>150102196612072557</t>
  </si>
  <si>
    <t>大专</t>
  </si>
  <si>
    <t>长春电力专科学校</t>
  </si>
  <si>
    <t>高电压技术</t>
  </si>
  <si>
    <t>顾聪飞</t>
  </si>
  <si>
    <t>310230198110155352</t>
  </si>
  <si>
    <t>园林</t>
  </si>
  <si>
    <t>孙满涛</t>
  </si>
  <si>
    <t>230521198305111317</t>
  </si>
  <si>
    <t>本科</t>
  </si>
  <si>
    <t>哈尔滨商业大学</t>
  </si>
  <si>
    <t>土木工程</t>
  </si>
  <si>
    <t>筹建部</t>
  </si>
  <si>
    <t>邹智伟</t>
  </si>
  <si>
    <t>310226198708070316</t>
  </si>
  <si>
    <t>天津大学</t>
  </si>
  <si>
    <t>建筑工程技术</t>
  </si>
  <si>
    <t>营销部</t>
  </si>
  <si>
    <t>刘远志</t>
  </si>
  <si>
    <t>510525196904210310</t>
  </si>
  <si>
    <t>初中</t>
  </si>
  <si>
    <t>古蔺太平中心小学</t>
  </si>
  <si>
    <t>王雷</t>
  </si>
  <si>
    <t>231004198102200771</t>
  </si>
  <si>
    <t>东北农业大学</t>
  </si>
  <si>
    <t>经济管理</t>
  </si>
  <si>
    <t>张晓青</t>
  </si>
  <si>
    <t>31022619860524351X</t>
  </si>
  <si>
    <t>华东政法大学</t>
  </si>
  <si>
    <t>法学</t>
  </si>
  <si>
    <t>企管部</t>
  </si>
  <si>
    <t>鲍廉梵</t>
  </si>
  <si>
    <t>310102198409304411</t>
  </si>
  <si>
    <t>华东理工大学</t>
  </si>
  <si>
    <t>电子商务</t>
  </si>
  <si>
    <t>生产部</t>
  </si>
  <si>
    <t>李文强</t>
  </si>
  <si>
    <t>420625197903052013</t>
  </si>
  <si>
    <t>谷城县技工学校</t>
  </si>
  <si>
    <t>电气自动化</t>
  </si>
  <si>
    <t>李陈龙</t>
  </si>
  <si>
    <t>342422199710172394</t>
  </si>
  <si>
    <t>高中</t>
  </si>
  <si>
    <t>寿县二中</t>
  </si>
  <si>
    <t>赵红雷</t>
  </si>
  <si>
    <t>370882198212026113</t>
  </si>
  <si>
    <t>中专</t>
  </si>
  <si>
    <t>济宁省兖州区第一职业中专</t>
  </si>
  <si>
    <t>机电</t>
  </si>
  <si>
    <t>薛飞阳</t>
  </si>
  <si>
    <t>610481199501066257</t>
  </si>
  <si>
    <t>广东科技学院</t>
  </si>
  <si>
    <t>应用电子技术</t>
  </si>
  <si>
    <t>项目组</t>
  </si>
  <si>
    <t>麻凤娟</t>
  </si>
  <si>
    <t>452623198608232723</t>
  </si>
  <si>
    <t>桂林理工大学</t>
  </si>
  <si>
    <t>黄丽娇</t>
  </si>
  <si>
    <t>452631199001160529</t>
  </si>
  <si>
    <t>广西水利电力职业技术学院</t>
  </si>
  <si>
    <t>电气自动化技术</t>
  </si>
  <si>
    <t>韦彪</t>
  </si>
  <si>
    <t>452601199502212712</t>
  </si>
  <si>
    <t>百色市一中</t>
  </si>
  <si>
    <t>徐熙堂</t>
  </si>
  <si>
    <t>452630199609254375</t>
  </si>
  <si>
    <t>广西交通职业技术学院</t>
  </si>
  <si>
    <t>汽车电子技术</t>
  </si>
  <si>
    <t>覃辽南</t>
  </si>
  <si>
    <t>452731197309156610</t>
  </si>
  <si>
    <t>中央广播电视中等专业学校</t>
  </si>
  <si>
    <t>建筑工程施工</t>
  </si>
  <si>
    <t>行政部</t>
  </si>
  <si>
    <t>徐冠宇</t>
  </si>
  <si>
    <t>342423199607086670</t>
  </si>
  <si>
    <t>安徽财贸职业学院</t>
  </si>
  <si>
    <t>会计</t>
  </si>
  <si>
    <t>陶书华</t>
  </si>
  <si>
    <t>452427197910033178</t>
  </si>
  <si>
    <t>重庆大学</t>
  </si>
  <si>
    <t>韦诚</t>
  </si>
  <si>
    <t>45263120000914051X</t>
  </si>
  <si>
    <t>南宁理工学院</t>
  </si>
  <si>
    <t>许蓝丹</t>
  </si>
  <si>
    <t>452624198705130741</t>
  </si>
  <si>
    <t>桂林电子科技大学</t>
  </si>
  <si>
    <t>行政管理</t>
  </si>
  <si>
    <t>梁超诗</t>
  </si>
  <si>
    <t>450481199004081253</t>
  </si>
  <si>
    <t>广西岑溪市第三中学</t>
  </si>
  <si>
    <t>/</t>
  </si>
  <si>
    <t>廖梅佟</t>
  </si>
  <si>
    <t>451002200307082420</t>
  </si>
  <si>
    <t>供用电技术</t>
  </si>
  <si>
    <t>吴鸿艳</t>
  </si>
  <si>
    <t>452629199908100346</t>
  </si>
  <si>
    <t>会计学</t>
  </si>
  <si>
    <t>杨秀兰</t>
  </si>
  <si>
    <t>452630199503140628</t>
  </si>
  <si>
    <t>南宁学院</t>
  </si>
  <si>
    <t>许少宏</t>
  </si>
  <si>
    <t>45260119870526151X</t>
  </si>
  <si>
    <t>百色市机电工程学院</t>
  </si>
  <si>
    <t>电子技术应用</t>
  </si>
  <si>
    <t>王律颖</t>
  </si>
  <si>
    <t>452629199006180041</t>
  </si>
  <si>
    <t>许方耀</t>
  </si>
  <si>
    <t>452624200009020717</t>
  </si>
  <si>
    <t>广西工程职业学院</t>
  </si>
  <si>
    <t>龙玉涛</t>
  </si>
  <si>
    <t>广西安全工程职业技术学院</t>
  </si>
  <si>
    <t>机电一体化技术专业</t>
  </si>
  <si>
    <t>伍世昀</t>
  </si>
  <si>
    <t>452201199402211219</t>
  </si>
  <si>
    <t>广西电力职业技术学校</t>
  </si>
  <si>
    <t>火电厂集控运行</t>
  </si>
  <si>
    <t>许挣伟</t>
  </si>
  <si>
    <t>452629199708060036</t>
  </si>
  <si>
    <t>广西大学</t>
  </si>
  <si>
    <t>黄美为</t>
  </si>
  <si>
    <t>452630199401172821</t>
  </si>
  <si>
    <t>工程造价</t>
  </si>
  <si>
    <t>徐美林</t>
  </si>
  <si>
    <t>320922196708153918</t>
  </si>
  <si>
    <t>挂靠</t>
  </si>
  <si>
    <t>李兰</t>
  </si>
  <si>
    <t>370687198712011189</t>
  </si>
  <si>
    <t>姜鹏举</t>
  </si>
  <si>
    <t>32082619830103561X</t>
  </si>
  <si>
    <t>韦继勇</t>
  </si>
  <si>
    <t>452626199404043211</t>
  </si>
  <si>
    <t>百色学院</t>
  </si>
  <si>
    <t>工程管理</t>
  </si>
  <si>
    <t>2025.12.31停缴</t>
  </si>
  <si>
    <t>院校</t>
  </si>
  <si>
    <t>社保缴纳</t>
  </si>
  <si>
    <t>2025年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</si>
  <si>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</si>
  <si>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</si>
  <si>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</si>
  <si>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</si>
  <si>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</si>
  <si>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</si>
  <si>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</si>
  <si>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</si>
  <si>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</si>
  <si>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</si>
  <si>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</si>
  <si>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</si>
  <si>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宋爱民</t>
  </si>
  <si>
    <t>中国地质大学</t>
  </si>
  <si>
    <t>庄保松</t>
  </si>
  <si>
    <t>江苏海洋大学（原淮海工学院）</t>
  </si>
  <si>
    <t>张尉云</t>
  </si>
  <si>
    <t>内蒙古工业大学</t>
  </si>
  <si>
    <t>黄开国</t>
  </si>
  <si>
    <t>江苏大学</t>
  </si>
  <si>
    <t>机电工程</t>
  </si>
  <si>
    <t>徐旭军</t>
  </si>
  <si>
    <t>湖州师范学院</t>
  </si>
  <si>
    <t>土木工程施工与管理</t>
  </si>
  <si>
    <t>刘银华</t>
  </si>
  <si>
    <t>安徽工业大学</t>
  </si>
  <si>
    <t>建筑工程管理</t>
  </si>
  <si>
    <t>黄建</t>
  </si>
  <si>
    <t>亳州职业技术学院</t>
  </si>
  <si>
    <t>机电一体化技术</t>
  </si>
  <si>
    <t>社保挂靠</t>
  </si>
  <si>
    <t>蒋杰</t>
  </si>
  <si>
    <t>江苏联合职业技术学院</t>
  </si>
  <si>
    <t>赵宏</t>
  </si>
  <si>
    <t>西南交通大学</t>
  </si>
  <si>
    <t>黄勇谈</t>
  </si>
  <si>
    <t>广西开放大学</t>
  </si>
  <si>
    <t>张争争</t>
  </si>
  <si>
    <t>武警黑龙江指挥学院</t>
  </si>
  <si>
    <t>法律</t>
  </si>
  <si>
    <t>史文龙</t>
  </si>
  <si>
    <t>哈尔滨理工大学</t>
  </si>
  <si>
    <t>热动</t>
  </si>
  <si>
    <t>缪金鑫</t>
  </si>
  <si>
    <t>江苏城市职业学院</t>
  </si>
  <si>
    <t>王国鹏</t>
  </si>
  <si>
    <t>中国石油大学(北 京)</t>
  </si>
  <si>
    <t>纪飞</t>
  </si>
  <si>
    <t>劳成用</t>
  </si>
  <si>
    <t>建筑环境与能源应用工</t>
  </si>
  <si>
    <t>郭正洲</t>
  </si>
  <si>
    <t>东北大学</t>
  </si>
  <si>
    <t>贺斌</t>
  </si>
  <si>
    <t>武汉工程职业技术学院</t>
  </si>
  <si>
    <t>廖月冬</t>
  </si>
  <si>
    <t>广西科技大学</t>
  </si>
  <si>
    <t>建筑工程专业</t>
  </si>
  <si>
    <t>郑学成</t>
  </si>
  <si>
    <t>广西建设职业技术学院</t>
  </si>
  <si>
    <t>建筑工程</t>
  </si>
  <si>
    <t>韦双磊</t>
  </si>
  <si>
    <t>仙桃职业学院</t>
  </si>
  <si>
    <t>为本月新增研发人员</t>
  </si>
  <si>
    <t>为已离职人员</t>
  </si>
  <si>
    <t>“1”</t>
  </si>
  <si>
    <t>当月在职</t>
  </si>
  <si>
    <t>建筑工地扬尘防治系统的研发</t>
  </si>
  <si>
    <t>2023.4.6-2025.3.31</t>
  </si>
  <si>
    <t>上海昱奇工程技术发展有限公司</t>
  </si>
  <si>
    <t>已结束</t>
  </si>
  <si>
    <t>√</t>
  </si>
  <si>
    <t>建筑施工全流程管控平台的开发</t>
  </si>
  <si>
    <t>2024.1.5-2025.12.31</t>
  </si>
  <si>
    <t>电力施工管理平台的开发</t>
  </si>
  <si>
    <t>2024.3.5-2026.2.28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</si>
</sst>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;@"/>
  </numFmts>
  <fonts count="3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b/>
      <sz val="12"/>
      <name val="宋体"/>
      <charset val="134"/>
    </font>
    <font>
      <sz val="10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4" tint="-0.25"/>
      <name val="微软雅黑"/>
      <charset val="134"/>
    </font>
    <font>
      <sz val="11"/>
      <name val="宋体"/>
      <charset val="134"/>
      <scheme val="minor"/>
    </font>
    <font>
      <sz val="11"/>
      <color theme="4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微软雅黑"/>
      <charset val="134"/>
    </font>
    <font>
      <sz val="10"/>
      <color theme="4"/>
      <name val="宋体"/>
      <charset val="134"/>
    </font>
    <font>
      <sz val="1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10" applyNumberFormat="0" applyAlignment="0" applyProtection="0">
      <alignment vertical="center"/>
    </xf>
    <xf numFmtId="0" fontId="29" fillId="7" borderId="11" applyNumberFormat="0" applyAlignment="0" applyProtection="0">
      <alignment vertical="center"/>
    </xf>
    <xf numFmtId="0" fontId="30" fillId="7" borderId="10" applyNumberFormat="0" applyAlignment="0" applyProtection="0">
      <alignment vertical="center"/>
    </xf>
    <xf numFmtId="0" fontId="31" fillId="8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6" fillId="0" borderId="1" xfId="5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5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8" fillId="0" borderId="1" xfId="5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5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0" borderId="1" xfId="0" applyFont="1" applyBorder="1">
      <alignment vertical="center"/>
    </xf>
    <xf numFmtId="57" fontId="6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57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57" fontId="6" fillId="2" borderId="1" xfId="0" applyNumberFormat="1" applyFont="1" applyFill="1" applyBorder="1" applyAlignment="1" applyProtection="1">
      <alignment horizontal="center" vertical="center"/>
      <protection locked="0"/>
    </xf>
    <xf numFmtId="177" fontId="7" fillId="2" borderId="1" xfId="0" applyNumberFormat="1" applyFont="1" applyFill="1" applyBorder="1" applyAlignment="1">
      <alignment horizontal="center" vertical="center"/>
    </xf>
    <xf numFmtId="57" fontId="10" fillId="0" borderId="1" xfId="0" applyNumberFormat="1" applyFont="1" applyFill="1" applyBorder="1" applyAlignment="1" applyProtection="1">
      <alignment horizontal="center" vertical="center"/>
      <protection locked="0"/>
    </xf>
    <xf numFmtId="176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57" fontId="10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6" fontId="0" fillId="0" borderId="0" xfId="0" applyNumberFormat="1">
      <alignment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5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 wrapText="1"/>
    </xf>
    <xf numFmtId="57" fontId="13" fillId="0" borderId="1" xfId="0" applyNumberFormat="1" applyFont="1" applyFill="1" applyBorder="1" applyAlignment="1" applyProtection="1">
      <alignment horizontal="center" vertical="center"/>
      <protection locked="0"/>
    </xf>
    <xf numFmtId="176" fontId="0" fillId="0" borderId="1" xfId="0" applyNumberForma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57" fontId="0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 wrapText="1"/>
    </xf>
    <xf numFmtId="0" fontId="16" fillId="0" borderId="1" xfId="5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5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 wrapText="1"/>
    </xf>
    <xf numFmtId="57" fontId="18" fillId="0" borderId="1" xfId="0" applyNumberFormat="1" applyFont="1" applyFill="1" applyBorder="1" applyAlignment="1" applyProtection="1">
      <alignment horizontal="center" vertical="center"/>
      <protection locked="0"/>
    </xf>
    <xf numFmtId="176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49" fontId="15" fillId="0" borderId="1" xfId="0" applyNumberFormat="1" applyFont="1" applyFill="1" applyBorder="1" applyAlignment="1" quotePrefix="1">
      <alignment horizontal="center" vertical="center" wrapText="1"/>
    </xf>
    <xf numFmtId="0" fontId="16" fillId="0" borderId="1" xfId="0" applyFont="1" applyFill="1" applyBorder="1" applyAlignment="1" quotePrefix="1">
      <alignment horizontal="center" vertical="center"/>
    </xf>
    <xf numFmtId="49" fontId="15" fillId="0" borderId="1" xfId="0" applyNumberFormat="1" applyFont="1" applyFill="1" applyBorder="1" applyAlignment="1" quotePrefix="1">
      <alignment horizontal="center" vertical="center"/>
    </xf>
    <xf numFmtId="49" fontId="16" fillId="0" borderId="1" xfId="0" applyNumberFormat="1" applyFont="1" applyFill="1" applyBorder="1" applyAlignment="1" quotePrefix="1">
      <alignment horizontal="center" vertical="center" wrapText="1"/>
    </xf>
    <xf numFmtId="49" fontId="19" fillId="0" borderId="1" xfId="0" applyNumberFormat="1" applyFont="1" applyFill="1" applyBorder="1" applyAlignment="1" quotePrefix="1">
      <alignment horizontal="center" vertical="center" wrapText="1"/>
    </xf>
    <xf numFmtId="0" fontId="19" fillId="0" borderId="1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1" xfId="49"/>
    <cellStyle name="常规 2" xfId="5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eChat%20Files\wxid_poccdelsrayk22\FileStorage\File\2025-03\&#26161;&#22855;&#30740;&#21457;&#39033;&#30446;&#20154;&#21592;&#34920;-02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人员表"/>
      <sheetName val="项目人员总表"/>
      <sheetName val="建筑工地扬尘防治系统的研发"/>
      <sheetName val="建筑施工全流程管控平台的开发"/>
      <sheetName val="电力施工管理平台的开发"/>
    </sheetNames>
    <sheetDataSet>
      <sheetData sheetId="0"/>
      <sheetData sheetId="1">
        <row r="1">
          <cell r="B1" t="str">
            <v>姓名</v>
          </cell>
        </row>
        <row r="1">
          <cell r="E1" t="str">
            <v>院校</v>
          </cell>
          <cell r="F1" t="str">
            <v>专业</v>
          </cell>
          <cell r="G1" t="str">
            <v>学历</v>
          </cell>
          <cell r="H1" t="str">
            <v>入职时间</v>
          </cell>
          <cell r="I1" t="str">
            <v>社保缴纳</v>
          </cell>
          <cell r="J1" t="str">
            <v>备注</v>
          </cell>
          <cell r="K1" t="str">
            <v>2025年</v>
          </cell>
        </row>
        <row r="2">
          <cell r="K2">
            <v>15</v>
          </cell>
          <cell r="L2">
            <v>15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</row>
        <row r="3">
          <cell r="K3">
            <v>42</v>
          </cell>
          <cell r="L3">
            <v>42</v>
          </cell>
        </row>
        <row r="4">
          <cell r="K4" t="str">
            <v>1月</v>
          </cell>
          <cell r="L4" t="str">
            <v>2月</v>
          </cell>
          <cell r="M4" t="str">
            <v>3月</v>
          </cell>
          <cell r="N4" t="str">
            <v>4月</v>
          </cell>
          <cell r="O4" t="str">
            <v>5月</v>
          </cell>
          <cell r="P4" t="str">
            <v>6月</v>
          </cell>
          <cell r="Q4" t="str">
            <v>7月</v>
          </cell>
          <cell r="R4" t="str">
            <v>8月</v>
          </cell>
          <cell r="S4" t="str">
            <v>9月</v>
          </cell>
          <cell r="T4" t="str">
            <v>10月</v>
          </cell>
          <cell r="U4" t="str">
            <v>11月</v>
          </cell>
          <cell r="V4" t="str">
            <v>12月</v>
          </cell>
        </row>
        <row r="5">
          <cell r="B5" t="str">
            <v>张争争</v>
          </cell>
        </row>
        <row r="5">
          <cell r="D5" t="str">
            <v>张争争</v>
          </cell>
          <cell r="E5" t="str">
            <v>武警黑龙江指挥学院</v>
          </cell>
          <cell r="F5" t="str">
            <v>法律</v>
          </cell>
          <cell r="G5" t="str">
            <v>大专</v>
          </cell>
          <cell r="H5">
            <v>45108</v>
          </cell>
          <cell r="I5">
            <v>45108</v>
          </cell>
        </row>
        <row r="5">
          <cell r="K5">
            <v>1</v>
          </cell>
          <cell r="L5">
            <v>1</v>
          </cell>
        </row>
        <row r="6">
          <cell r="B6" t="str">
            <v>史文龙</v>
          </cell>
        </row>
        <row r="6">
          <cell r="D6" t="str">
            <v>史文龙</v>
          </cell>
          <cell r="E6" t="str">
            <v>哈尔滨理工大学</v>
          </cell>
          <cell r="F6" t="str">
            <v>热动</v>
          </cell>
          <cell r="G6" t="str">
            <v>本科</v>
          </cell>
          <cell r="H6">
            <v>45027</v>
          </cell>
          <cell r="I6">
            <v>45108</v>
          </cell>
        </row>
        <row r="6">
          <cell r="K6">
            <v>1</v>
          </cell>
          <cell r="L6">
            <v>1</v>
          </cell>
        </row>
        <row r="7">
          <cell r="B7" t="str">
            <v>张鸿志</v>
          </cell>
        </row>
        <row r="7">
          <cell r="D7" t="str">
            <v>王雷</v>
          </cell>
          <cell r="E7" t="str">
            <v>长春电力专科学校</v>
          </cell>
          <cell r="F7" t="str">
            <v>高电压技术</v>
          </cell>
          <cell r="G7" t="str">
            <v>大专</v>
          </cell>
          <cell r="H7">
            <v>45027</v>
          </cell>
          <cell r="I7">
            <v>45108</v>
          </cell>
        </row>
        <row r="7">
          <cell r="K7">
            <v>1</v>
          </cell>
          <cell r="L7">
            <v>1</v>
          </cell>
        </row>
        <row r="8">
          <cell r="B8" t="str">
            <v>孙满涛</v>
          </cell>
          <cell r="C8">
            <v>2</v>
          </cell>
          <cell r="D8" t="str">
            <v>张晓青</v>
          </cell>
          <cell r="E8" t="str">
            <v>哈尔滨商业大学</v>
          </cell>
          <cell r="F8" t="str">
            <v>土木工程</v>
          </cell>
          <cell r="G8" t="str">
            <v>本科</v>
          </cell>
          <cell r="H8">
            <v>45131</v>
          </cell>
          <cell r="I8">
            <v>45139</v>
          </cell>
        </row>
        <row r="8">
          <cell r="K8">
            <v>1</v>
          </cell>
          <cell r="L8">
            <v>1</v>
          </cell>
        </row>
        <row r="9">
          <cell r="B9" t="str">
            <v>邹智伟</v>
          </cell>
          <cell r="C9">
            <v>4</v>
          </cell>
          <cell r="D9" t="str">
            <v>徐旭军</v>
          </cell>
          <cell r="E9" t="str">
            <v>天津大学</v>
          </cell>
          <cell r="F9" t="str">
            <v>建筑工程技术</v>
          </cell>
          <cell r="G9" t="str">
            <v>大专</v>
          </cell>
          <cell r="H9">
            <v>45174</v>
          </cell>
          <cell r="I9">
            <v>45170</v>
          </cell>
        </row>
        <row r="9">
          <cell r="K9">
            <v>1</v>
          </cell>
          <cell r="L9">
            <v>1</v>
          </cell>
        </row>
        <row r="10">
          <cell r="B10" t="str">
            <v>王雷</v>
          </cell>
        </row>
        <row r="10">
          <cell r="D10" t="str">
            <v>鲍廉梵</v>
          </cell>
          <cell r="E10" t="str">
            <v>东北农业大学</v>
          </cell>
          <cell r="F10" t="str">
            <v>经济管理</v>
          </cell>
          <cell r="G10" t="str">
            <v>本科</v>
          </cell>
          <cell r="H10">
            <v>45176</v>
          </cell>
          <cell r="I10">
            <v>45200</v>
          </cell>
        </row>
        <row r="10">
          <cell r="K10">
            <v>1</v>
          </cell>
          <cell r="L10">
            <v>1</v>
          </cell>
        </row>
        <row r="11">
          <cell r="B11" t="str">
            <v>张晓青</v>
          </cell>
        </row>
        <row r="11">
          <cell r="D11" t="str">
            <v>张晓青</v>
          </cell>
          <cell r="E11" t="str">
            <v>华东政法大学</v>
          </cell>
          <cell r="F11" t="str">
            <v>法学</v>
          </cell>
          <cell r="G11" t="str">
            <v>本科</v>
          </cell>
          <cell r="H11">
            <v>45233</v>
          </cell>
          <cell r="I11">
            <v>45231</v>
          </cell>
        </row>
        <row r="11">
          <cell r="K11">
            <v>1</v>
          </cell>
          <cell r="L11">
            <v>1</v>
          </cell>
        </row>
        <row r="12">
          <cell r="B12" t="str">
            <v>鲍廉梵</v>
          </cell>
        </row>
        <row r="12">
          <cell r="D12" t="str">
            <v>缪金鑫</v>
          </cell>
          <cell r="E12" t="str">
            <v>华东理工大学</v>
          </cell>
          <cell r="F12" t="str">
            <v>电子商务</v>
          </cell>
          <cell r="G12" t="str">
            <v>大专</v>
          </cell>
          <cell r="H12">
            <v>45376</v>
          </cell>
          <cell r="I12">
            <v>45383</v>
          </cell>
        </row>
        <row r="12">
          <cell r="K12">
            <v>1</v>
          </cell>
          <cell r="L12">
            <v>1</v>
          </cell>
        </row>
        <row r="13">
          <cell r="B13" t="str">
            <v>劳成用</v>
          </cell>
          <cell r="C13">
            <v>2</v>
          </cell>
          <cell r="D13" t="str">
            <v>蒋杰</v>
          </cell>
          <cell r="E13" t="str">
            <v>桂林电子科技大学</v>
          </cell>
          <cell r="F13" t="str">
            <v>建筑环境与能源应用工</v>
          </cell>
          <cell r="G13" t="str">
            <v>本科</v>
          </cell>
          <cell r="H13">
            <v>45395</v>
          </cell>
          <cell r="I13">
            <v>45383</v>
          </cell>
        </row>
        <row r="13">
          <cell r="K13">
            <v>1</v>
          </cell>
          <cell r="L13">
            <v>1</v>
          </cell>
        </row>
        <row r="14">
          <cell r="B14" t="str">
            <v>李文强</v>
          </cell>
          <cell r="C14">
            <v>7</v>
          </cell>
          <cell r="D14" t="str">
            <v>韦继勇</v>
          </cell>
          <cell r="E14" t="str">
            <v>谷城县技工学校</v>
          </cell>
          <cell r="F14" t="str">
            <v>电气自动化</v>
          </cell>
          <cell r="G14" t="str">
            <v>大专</v>
          </cell>
          <cell r="H14">
            <v>45383</v>
          </cell>
          <cell r="I14">
            <v>45383</v>
          </cell>
        </row>
        <row r="14">
          <cell r="K14">
            <v>1</v>
          </cell>
          <cell r="L14">
            <v>1</v>
          </cell>
        </row>
        <row r="15">
          <cell r="B15" t="str">
            <v>薛飞阳</v>
          </cell>
          <cell r="C15">
            <v>7</v>
          </cell>
          <cell r="D15" t="str">
            <v>黄勇谈</v>
          </cell>
          <cell r="E15" t="str">
            <v>广东科技学院</v>
          </cell>
          <cell r="F15" t="str">
            <v>应用电子技术</v>
          </cell>
          <cell r="G15" t="str">
            <v>大专</v>
          </cell>
          <cell r="H15">
            <v>45383</v>
          </cell>
          <cell r="I15">
            <v>45383</v>
          </cell>
        </row>
        <row r="15">
          <cell r="K15">
            <v>1</v>
          </cell>
          <cell r="L15">
            <v>1</v>
          </cell>
        </row>
        <row r="16">
          <cell r="B16" t="str">
            <v>郭正洲</v>
          </cell>
          <cell r="C16">
            <v>7</v>
          </cell>
          <cell r="D16" t="str">
            <v>徐熙堂</v>
          </cell>
          <cell r="E16" t="str">
            <v>东北大学</v>
          </cell>
          <cell r="F16" t="str">
            <v>机电一体化技术</v>
          </cell>
          <cell r="G16" t="str">
            <v>大专</v>
          </cell>
          <cell r="H16">
            <v>45383</v>
          </cell>
          <cell r="I16">
            <v>45383</v>
          </cell>
          <cell r="J16" t="str">
            <v>社保挂靠</v>
          </cell>
          <cell r="K16">
            <v>1</v>
          </cell>
          <cell r="L16">
            <v>1</v>
          </cell>
        </row>
        <row r="17">
          <cell r="B17" t="str">
            <v>贺斌</v>
          </cell>
          <cell r="C17">
            <v>7</v>
          </cell>
          <cell r="D17" t="str">
            <v>张鸿志</v>
          </cell>
          <cell r="E17" t="str">
            <v>武汉工程职业技术学院</v>
          </cell>
          <cell r="F17" t="str">
            <v>机电一体化技术</v>
          </cell>
          <cell r="G17" t="str">
            <v>大专</v>
          </cell>
          <cell r="H17">
            <v>45383</v>
          </cell>
          <cell r="I17">
            <v>45383</v>
          </cell>
          <cell r="J17" t="str">
            <v>社保挂靠</v>
          </cell>
          <cell r="K17">
            <v>1</v>
          </cell>
          <cell r="L17">
            <v>1</v>
          </cell>
        </row>
        <row r="18">
          <cell r="B18" t="str">
            <v>缪金鑫</v>
          </cell>
        </row>
        <row r="18">
          <cell r="E18" t="str">
            <v>江苏城市职业学院</v>
          </cell>
          <cell r="F18" t="str">
            <v>机电一体化技术</v>
          </cell>
          <cell r="G18" t="str">
            <v>大专</v>
          </cell>
          <cell r="H18">
            <v>45383</v>
          </cell>
          <cell r="I18">
            <v>45383</v>
          </cell>
          <cell r="J18" t="str">
            <v>社保挂靠</v>
          </cell>
          <cell r="K18">
            <v>1</v>
          </cell>
          <cell r="L18">
            <v>1</v>
          </cell>
        </row>
        <row r="19">
          <cell r="B19" t="str">
            <v>麻凤娟</v>
          </cell>
          <cell r="C19">
            <v>4</v>
          </cell>
        </row>
        <row r="19">
          <cell r="E19" t="str">
            <v>桂林理工大学</v>
          </cell>
          <cell r="F19" t="str">
            <v>土木工程</v>
          </cell>
          <cell r="G19" t="str">
            <v>本科</v>
          </cell>
          <cell r="H19">
            <v>45363</v>
          </cell>
          <cell r="I19">
            <v>45413</v>
          </cell>
        </row>
        <row r="19">
          <cell r="K19">
            <v>1</v>
          </cell>
          <cell r="L19">
            <v>1</v>
          </cell>
        </row>
        <row r="20">
          <cell r="B20" t="str">
            <v>黄丽娇</v>
          </cell>
          <cell r="C20">
            <v>7</v>
          </cell>
        </row>
        <row r="20">
          <cell r="E20" t="str">
            <v>广西水利电力职业技术学院</v>
          </cell>
          <cell r="F20" t="str">
            <v>电气自动化技术</v>
          </cell>
          <cell r="G20" t="str">
            <v>大专</v>
          </cell>
          <cell r="H20">
            <v>45418</v>
          </cell>
          <cell r="I20">
            <v>45413</v>
          </cell>
        </row>
        <row r="20">
          <cell r="K20">
            <v>1</v>
          </cell>
          <cell r="L20">
            <v>1</v>
          </cell>
        </row>
        <row r="21">
          <cell r="B21" t="str">
            <v>韦继勇</v>
          </cell>
          <cell r="C21">
            <v>4</v>
          </cell>
        </row>
        <row r="21">
          <cell r="E21" t="str">
            <v>百色学院</v>
          </cell>
          <cell r="F21" t="str">
            <v>工程管理</v>
          </cell>
          <cell r="G21" t="str">
            <v>本科</v>
          </cell>
          <cell r="H21">
            <v>45439</v>
          </cell>
          <cell r="I21">
            <v>45444</v>
          </cell>
        </row>
        <row r="21">
          <cell r="K21">
            <v>1</v>
          </cell>
          <cell r="L21">
            <v>1</v>
          </cell>
        </row>
        <row r="22">
          <cell r="B22" t="str">
            <v>廖月冬</v>
          </cell>
          <cell r="C22">
            <v>2</v>
          </cell>
        </row>
        <row r="22">
          <cell r="E22" t="str">
            <v>广西科技大学</v>
          </cell>
          <cell r="F22" t="str">
            <v>建筑工程专业</v>
          </cell>
          <cell r="G22" t="str">
            <v>本科</v>
          </cell>
          <cell r="H22">
            <v>45505</v>
          </cell>
          <cell r="I22">
            <v>45505</v>
          </cell>
        </row>
        <row r="22">
          <cell r="K22">
            <v>1</v>
          </cell>
          <cell r="L22">
            <v>1</v>
          </cell>
        </row>
        <row r="23">
          <cell r="B23" t="str">
            <v>徐熙堂</v>
          </cell>
        </row>
        <row r="23">
          <cell r="E23" t="str">
            <v>广西交通职业技术学院</v>
          </cell>
          <cell r="F23" t="str">
            <v>汽车电子技术</v>
          </cell>
          <cell r="G23" t="str">
            <v>大专</v>
          </cell>
          <cell r="H23">
            <v>45505</v>
          </cell>
          <cell r="I23">
            <v>45505</v>
          </cell>
        </row>
        <row r="23">
          <cell r="K23">
            <v>1</v>
          </cell>
          <cell r="L23">
            <v>1</v>
          </cell>
        </row>
        <row r="24">
          <cell r="B24" t="str">
            <v>王国鹏</v>
          </cell>
          <cell r="C24">
            <v>2</v>
          </cell>
        </row>
        <row r="24">
          <cell r="E24" t="str">
            <v>中国石油大学(北 京)</v>
          </cell>
          <cell r="F24" t="str">
            <v>土木工程</v>
          </cell>
          <cell r="G24" t="str">
            <v>本科</v>
          </cell>
          <cell r="H24">
            <v>45513</v>
          </cell>
          <cell r="I24">
            <v>45536</v>
          </cell>
        </row>
        <row r="24">
          <cell r="K24">
            <v>1</v>
          </cell>
          <cell r="L24">
            <v>1</v>
          </cell>
        </row>
        <row r="25">
          <cell r="B25" t="str">
            <v>陶书华</v>
          </cell>
          <cell r="C25">
            <v>4</v>
          </cell>
        </row>
        <row r="25">
          <cell r="E25" t="str">
            <v>重庆大学</v>
          </cell>
          <cell r="F25" t="str">
            <v>土木工程</v>
          </cell>
          <cell r="G25" t="str">
            <v>本科</v>
          </cell>
          <cell r="H25">
            <v>45536</v>
          </cell>
          <cell r="I25">
            <v>45536</v>
          </cell>
        </row>
        <row r="25">
          <cell r="K25">
            <v>1</v>
          </cell>
          <cell r="L25">
            <v>1</v>
          </cell>
        </row>
        <row r="26">
          <cell r="B26" t="str">
            <v>韦诚</v>
          </cell>
          <cell r="C26">
            <v>2</v>
          </cell>
        </row>
        <row r="26">
          <cell r="E26" t="str">
            <v>南宁理工学院</v>
          </cell>
          <cell r="F26" t="str">
            <v>土木工程</v>
          </cell>
          <cell r="G26" t="str">
            <v>本科</v>
          </cell>
          <cell r="H26">
            <v>45575</v>
          </cell>
          <cell r="I26">
            <v>45597</v>
          </cell>
        </row>
        <row r="26">
          <cell r="K26">
            <v>1</v>
          </cell>
          <cell r="L26">
            <v>1</v>
          </cell>
        </row>
        <row r="27">
          <cell r="B27" t="str">
            <v>郑学成</v>
          </cell>
          <cell r="C27">
            <v>4</v>
          </cell>
        </row>
        <row r="27">
          <cell r="E27" t="str">
            <v>广西建设职业技术学院</v>
          </cell>
          <cell r="F27" t="str">
            <v>建筑工程</v>
          </cell>
          <cell r="G27" t="str">
            <v>大专</v>
          </cell>
          <cell r="H27">
            <v>45640</v>
          </cell>
        </row>
        <row r="27">
          <cell r="K27">
            <v>1</v>
          </cell>
          <cell r="L27">
            <v>1</v>
          </cell>
        </row>
        <row r="28">
          <cell r="B28" t="str">
            <v>廖梅佟</v>
          </cell>
          <cell r="C28">
            <v>7</v>
          </cell>
        </row>
        <row r="28">
          <cell r="E28" t="str">
            <v>广西水利电力职业技术学院</v>
          </cell>
          <cell r="F28" t="str">
            <v>供用电技术</v>
          </cell>
          <cell r="G28" t="str">
            <v>大专</v>
          </cell>
          <cell r="H28">
            <v>45644</v>
          </cell>
        </row>
        <row r="28">
          <cell r="K28">
            <v>1</v>
          </cell>
          <cell r="L28">
            <v>1</v>
          </cell>
        </row>
        <row r="29">
          <cell r="B29" t="str">
            <v>宋爱民</v>
          </cell>
        </row>
        <row r="29">
          <cell r="E29" t="str">
            <v>中国地质大学</v>
          </cell>
          <cell r="F29" t="str">
            <v>电气自动化</v>
          </cell>
          <cell r="G29" t="str">
            <v>大专</v>
          </cell>
          <cell r="H29">
            <v>44881</v>
          </cell>
          <cell r="I29">
            <v>44866</v>
          </cell>
        </row>
        <row r="30">
          <cell r="B30" t="str">
            <v>庄保松</v>
          </cell>
        </row>
        <row r="30">
          <cell r="E30" t="str">
            <v>江苏海洋大学（原淮海工学院）</v>
          </cell>
          <cell r="F30" t="str">
            <v>土木工程</v>
          </cell>
          <cell r="G30" t="str">
            <v>本科</v>
          </cell>
          <cell r="H30">
            <v>44935</v>
          </cell>
          <cell r="I30">
            <v>44927</v>
          </cell>
        </row>
        <row r="31">
          <cell r="B31" t="str">
            <v>张尉云</v>
          </cell>
        </row>
        <row r="31">
          <cell r="E31" t="str">
            <v>内蒙古工业大学</v>
          </cell>
          <cell r="F31" t="str">
            <v>工程管理</v>
          </cell>
          <cell r="G31" t="str">
            <v>本科</v>
          </cell>
          <cell r="H31">
            <v>44999</v>
          </cell>
          <cell r="I31">
            <v>45017</v>
          </cell>
        </row>
        <row r="32">
          <cell r="B32" t="str">
            <v>黄开国</v>
          </cell>
        </row>
        <row r="32">
          <cell r="E32" t="str">
            <v>江苏大学</v>
          </cell>
          <cell r="F32" t="str">
            <v>机电工程</v>
          </cell>
          <cell r="G32" t="str">
            <v>大专</v>
          </cell>
          <cell r="H32">
            <v>45153</v>
          </cell>
          <cell r="I32">
            <v>45139</v>
          </cell>
        </row>
        <row r="33">
          <cell r="B33" t="str">
            <v>徐旭军</v>
          </cell>
        </row>
        <row r="33">
          <cell r="E33" t="str">
            <v>湖州师范学院</v>
          </cell>
          <cell r="F33" t="str">
            <v>土木工程施工与管理</v>
          </cell>
          <cell r="G33" t="str">
            <v>大专</v>
          </cell>
          <cell r="H33">
            <v>45078</v>
          </cell>
          <cell r="I33">
            <v>45078</v>
          </cell>
        </row>
        <row r="34">
          <cell r="B34" t="str">
            <v>刘银华</v>
          </cell>
        </row>
        <row r="34">
          <cell r="E34" t="str">
            <v>安徽工业大学</v>
          </cell>
          <cell r="F34" t="str">
            <v>建筑工程管理</v>
          </cell>
          <cell r="G34" t="str">
            <v>大专</v>
          </cell>
          <cell r="H34">
            <v>44896</v>
          </cell>
          <cell r="I34">
            <v>44896</v>
          </cell>
        </row>
        <row r="35">
          <cell r="B35" t="str">
            <v>黄建</v>
          </cell>
        </row>
        <row r="35">
          <cell r="E35" t="str">
            <v>亳州职业技术学院</v>
          </cell>
          <cell r="F35" t="str">
            <v>机电一体化技术</v>
          </cell>
          <cell r="G35" t="str">
            <v>大专</v>
          </cell>
          <cell r="H35">
            <v>45383</v>
          </cell>
          <cell r="I35">
            <v>45383</v>
          </cell>
          <cell r="J35" t="str">
            <v>社保挂靠</v>
          </cell>
        </row>
        <row r="36">
          <cell r="B36" t="str">
            <v>蒋杰</v>
          </cell>
        </row>
        <row r="36">
          <cell r="E36" t="str">
            <v>江苏联合职业技术学院</v>
          </cell>
          <cell r="F36" t="str">
            <v>机电一体化技术</v>
          </cell>
          <cell r="G36" t="str">
            <v>大专</v>
          </cell>
          <cell r="H36">
            <v>45383</v>
          </cell>
          <cell r="I36">
            <v>45383</v>
          </cell>
          <cell r="J36" t="str">
            <v>社保挂靠</v>
          </cell>
        </row>
        <row r="37">
          <cell r="B37" t="str">
            <v>赵宏</v>
          </cell>
        </row>
        <row r="37">
          <cell r="E37" t="str">
            <v>西南交通大学</v>
          </cell>
          <cell r="F37" t="str">
            <v>机电一体化技术</v>
          </cell>
          <cell r="G37" t="str">
            <v>大专</v>
          </cell>
          <cell r="H37">
            <v>45383</v>
          </cell>
          <cell r="I37">
            <v>45383</v>
          </cell>
          <cell r="J37" t="str">
            <v>社保挂靠</v>
          </cell>
        </row>
        <row r="38">
          <cell r="B38" t="str">
            <v>黄勇谈</v>
          </cell>
        </row>
        <row r="38">
          <cell r="E38" t="str">
            <v>广西开放大学</v>
          </cell>
          <cell r="F38" t="str">
            <v>工程管理</v>
          </cell>
          <cell r="G38" t="str">
            <v>本科</v>
          </cell>
          <cell r="H38">
            <v>45492</v>
          </cell>
          <cell r="I38">
            <v>45505</v>
          </cell>
        </row>
        <row r="41">
          <cell r="E41" t="str">
            <v>为本月新增研发人员</v>
          </cell>
        </row>
        <row r="42">
          <cell r="E42" t="str">
            <v>为已离职人员</v>
          </cell>
        </row>
        <row r="43">
          <cell r="B43" t="str">
            <v>“1”</v>
          </cell>
        </row>
        <row r="43">
          <cell r="E43" t="str">
            <v>当月在职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workbookViewId="0">
      <pane xSplit="4" ySplit="2" topLeftCell="E15" activePane="bottomRight" state="frozen"/>
      <selection/>
      <selection pane="topRight"/>
      <selection pane="bottomLeft"/>
      <selection pane="bottomRight" activeCell="A3" sqref="A3:A43"/>
    </sheetView>
  </sheetViews>
  <sheetFormatPr defaultColWidth="9" defaultRowHeight="13.5"/>
  <cols>
    <col min="1" max="1" width="4.625" customWidth="1"/>
    <col min="3" max="3" width="11.2583333333333" customWidth="1"/>
    <col min="4" max="4" width="20.375" customWidth="1"/>
    <col min="5" max="5" width="14.075" customWidth="1"/>
    <col min="6" max="6" width="22.1833333333333" style="60" customWidth="1"/>
    <col min="7" max="7" width="11.7083333333333" customWidth="1"/>
    <col min="8" max="9" width="27.425" customWidth="1"/>
    <col min="10" max="10" width="13.4583333333333" customWidth="1"/>
    <col min="11" max="11" width="11.5"/>
  </cols>
  <sheetData>
    <row r="1" spans="1:10">
      <c r="A1" s="61" t="s">
        <v>0</v>
      </c>
      <c r="B1" s="62" t="s">
        <v>1</v>
      </c>
      <c r="C1" s="63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55" t="s">
        <v>9</v>
      </c>
    </row>
    <row r="2" spans="1:10">
      <c r="A2" s="65"/>
      <c r="B2" s="62"/>
      <c r="C2" s="63"/>
      <c r="D2" s="64"/>
      <c r="E2" s="64"/>
      <c r="F2" s="64"/>
      <c r="G2" s="64"/>
      <c r="H2" s="64"/>
      <c r="I2" s="64"/>
      <c r="J2" s="55"/>
    </row>
    <row r="3" customFormat="1" spans="1:12">
      <c r="A3" s="66">
        <v>1</v>
      </c>
      <c r="B3" s="67" t="s">
        <v>10</v>
      </c>
      <c r="C3" s="68" t="s">
        <v>11</v>
      </c>
      <c r="D3" s="95" t="s">
        <v>12</v>
      </c>
      <c r="E3" s="70">
        <v>45108</v>
      </c>
      <c r="F3" s="71">
        <v>45027</v>
      </c>
      <c r="G3" s="55" t="s">
        <v>13</v>
      </c>
      <c r="H3" s="55" t="s">
        <v>14</v>
      </c>
      <c r="I3" s="55" t="s">
        <v>15</v>
      </c>
      <c r="J3" s="92"/>
      <c r="K3" t="str" cm="1">
        <f t="array" ref="K3:K22">VLOOKUP(项目人员总表!B5:B24,C3:C43,1,0)</f>
        <v>张鸿志</v>
      </c>
      <c r="L3" t="str" cm="1">
        <f t="array" ref="L3:L43">VLOOKUP(C3:C43,项目人员总表!B5:B24,1,0)</f>
        <v>张鸿志</v>
      </c>
    </row>
    <row r="4" customFormat="1" spans="1:12">
      <c r="A4" s="66">
        <v>2</v>
      </c>
      <c r="B4" s="67" t="s">
        <v>10</v>
      </c>
      <c r="C4" s="68" t="s">
        <v>16</v>
      </c>
      <c r="D4" s="69" t="s">
        <v>17</v>
      </c>
      <c r="E4" s="70">
        <v>45108</v>
      </c>
      <c r="F4" s="71">
        <v>45108</v>
      </c>
      <c r="G4" s="55" t="s">
        <v>13</v>
      </c>
      <c r="H4" s="55">
        <v>0</v>
      </c>
      <c r="I4" s="55">
        <v>0</v>
      </c>
      <c r="J4" s="92" t="s">
        <v>18</v>
      </c>
      <c r="K4" t="str">
        <v>孙满涛</v>
      </c>
      <c r="L4" t="e">
        <v>#N/A</v>
      </c>
    </row>
    <row r="5" customFormat="1" spans="1:12">
      <c r="A5" s="66">
        <v>3</v>
      </c>
      <c r="B5" s="67" t="s">
        <v>10</v>
      </c>
      <c r="C5" s="68" t="s">
        <v>19</v>
      </c>
      <c r="D5" s="69" t="s">
        <v>20</v>
      </c>
      <c r="E5" s="70">
        <v>45139</v>
      </c>
      <c r="F5" s="71">
        <v>45131</v>
      </c>
      <c r="G5" s="55" t="s">
        <v>21</v>
      </c>
      <c r="H5" s="55" t="s">
        <v>22</v>
      </c>
      <c r="I5" s="55" t="s">
        <v>23</v>
      </c>
      <c r="J5" s="92"/>
      <c r="K5" t="str">
        <v>邹智伟</v>
      </c>
      <c r="L5" t="str">
        <v>孙满涛</v>
      </c>
    </row>
    <row r="6" customFormat="1" spans="1:12">
      <c r="A6" s="66">
        <v>4</v>
      </c>
      <c r="B6" s="67" t="s">
        <v>24</v>
      </c>
      <c r="C6" s="68" t="s">
        <v>25</v>
      </c>
      <c r="D6" s="69" t="s">
        <v>26</v>
      </c>
      <c r="E6" s="70">
        <v>45170</v>
      </c>
      <c r="F6" s="71">
        <v>45174</v>
      </c>
      <c r="G6" s="55" t="s">
        <v>13</v>
      </c>
      <c r="H6" s="55" t="s">
        <v>27</v>
      </c>
      <c r="I6" s="55" t="s">
        <v>28</v>
      </c>
      <c r="J6" s="92"/>
      <c r="K6" t="str">
        <v>王雷</v>
      </c>
      <c r="L6" t="str">
        <v>邹智伟</v>
      </c>
    </row>
    <row r="7" customFormat="1" spans="1:12">
      <c r="A7" s="66">
        <v>5</v>
      </c>
      <c r="B7" s="67" t="s">
        <v>29</v>
      </c>
      <c r="C7" s="68" t="s">
        <v>30</v>
      </c>
      <c r="D7" s="69" t="s">
        <v>31</v>
      </c>
      <c r="E7" s="70">
        <v>45170</v>
      </c>
      <c r="F7" s="71">
        <v>45170</v>
      </c>
      <c r="G7" s="55" t="s">
        <v>32</v>
      </c>
      <c r="H7" s="55" t="s">
        <v>33</v>
      </c>
      <c r="I7" s="55">
        <v>0</v>
      </c>
      <c r="J7" s="92"/>
      <c r="K7" t="str">
        <v>张晓青</v>
      </c>
      <c r="L7" t="e">
        <v>#N/A</v>
      </c>
    </row>
    <row r="8" customFormat="1" spans="1:12">
      <c r="A8" s="66">
        <v>6</v>
      </c>
      <c r="B8" s="67" t="s">
        <v>10</v>
      </c>
      <c r="C8" s="68" t="s">
        <v>34</v>
      </c>
      <c r="D8" s="69" t="s">
        <v>35</v>
      </c>
      <c r="E8" s="70">
        <v>45200</v>
      </c>
      <c r="F8" s="71">
        <v>45176</v>
      </c>
      <c r="G8" s="55" t="s">
        <v>21</v>
      </c>
      <c r="H8" s="55" t="s">
        <v>36</v>
      </c>
      <c r="I8" s="55" t="s">
        <v>37</v>
      </c>
      <c r="J8" s="92"/>
      <c r="K8" t="str">
        <v>鲍廉梵</v>
      </c>
      <c r="L8" t="str">
        <v>王雷</v>
      </c>
    </row>
    <row r="9" customFormat="1" spans="1:12">
      <c r="A9" s="66">
        <v>7</v>
      </c>
      <c r="B9" s="67" t="s">
        <v>24</v>
      </c>
      <c r="C9" s="68" t="s">
        <v>38</v>
      </c>
      <c r="D9" s="69" t="s">
        <v>39</v>
      </c>
      <c r="E9" s="70">
        <v>45231</v>
      </c>
      <c r="F9" s="71">
        <v>45233</v>
      </c>
      <c r="G9" s="55" t="s">
        <v>21</v>
      </c>
      <c r="H9" s="55" t="s">
        <v>40</v>
      </c>
      <c r="I9" s="55" t="s">
        <v>41</v>
      </c>
      <c r="J9" s="92"/>
      <c r="K9" t="str">
        <v>李文强</v>
      </c>
      <c r="L9" t="str">
        <v>张晓青</v>
      </c>
    </row>
    <row r="10" customFormat="1" spans="1:12">
      <c r="A10" s="66">
        <v>8</v>
      </c>
      <c r="B10" s="67" t="s">
        <v>42</v>
      </c>
      <c r="C10" s="68" t="s">
        <v>43</v>
      </c>
      <c r="D10" s="95" t="s">
        <v>44</v>
      </c>
      <c r="E10" s="70">
        <v>45383</v>
      </c>
      <c r="F10" s="71">
        <v>45376</v>
      </c>
      <c r="G10" s="55" t="s">
        <v>13</v>
      </c>
      <c r="H10" s="55" t="s">
        <v>45</v>
      </c>
      <c r="I10" s="55" t="s">
        <v>46</v>
      </c>
      <c r="J10" s="92"/>
      <c r="K10" t="str">
        <v>薛飞阳</v>
      </c>
      <c r="L10" t="str">
        <v>鲍廉梵</v>
      </c>
    </row>
    <row r="11" customFormat="1" spans="1:12">
      <c r="A11" s="66">
        <v>9</v>
      </c>
      <c r="B11" s="67" t="s">
        <v>47</v>
      </c>
      <c r="C11" s="68" t="s">
        <v>48</v>
      </c>
      <c r="D11" s="69" t="s">
        <v>49</v>
      </c>
      <c r="E11" s="70">
        <v>45383</v>
      </c>
      <c r="F11" s="71">
        <v>45383</v>
      </c>
      <c r="G11" s="55" t="s">
        <v>13</v>
      </c>
      <c r="H11" s="55" t="s">
        <v>50</v>
      </c>
      <c r="I11" s="55" t="s">
        <v>51</v>
      </c>
      <c r="J11" s="92"/>
      <c r="K11" t="str">
        <v>麻凤娟</v>
      </c>
      <c r="L11" t="str">
        <v>李文强</v>
      </c>
    </row>
    <row r="12" customFormat="1" spans="1:12">
      <c r="A12" s="66">
        <v>10</v>
      </c>
      <c r="B12" s="67" t="s">
        <v>47</v>
      </c>
      <c r="C12" s="68" t="s">
        <v>52</v>
      </c>
      <c r="D12" s="69" t="s">
        <v>53</v>
      </c>
      <c r="E12" s="70">
        <v>45383</v>
      </c>
      <c r="F12" s="71">
        <v>45383</v>
      </c>
      <c r="G12" s="55" t="s">
        <v>54</v>
      </c>
      <c r="H12" s="55" t="s">
        <v>55</v>
      </c>
      <c r="I12" s="55">
        <v>0</v>
      </c>
      <c r="J12" s="92"/>
      <c r="K12" t="str">
        <v>黄丽娇</v>
      </c>
      <c r="L12" t="e">
        <v>#N/A</v>
      </c>
    </row>
    <row r="13" customFormat="1" spans="1:12">
      <c r="A13" s="66">
        <v>11</v>
      </c>
      <c r="B13" s="67" t="s">
        <v>47</v>
      </c>
      <c r="C13" s="68" t="s">
        <v>56</v>
      </c>
      <c r="D13" s="69" t="s">
        <v>57</v>
      </c>
      <c r="E13" s="70">
        <v>45383</v>
      </c>
      <c r="F13" s="71">
        <v>45383</v>
      </c>
      <c r="G13" s="55" t="s">
        <v>58</v>
      </c>
      <c r="H13" s="55" t="s">
        <v>59</v>
      </c>
      <c r="I13" s="55" t="s">
        <v>60</v>
      </c>
      <c r="J13" s="92"/>
      <c r="K13" t="str">
        <v>韦继勇</v>
      </c>
      <c r="L13" t="e">
        <v>#N/A</v>
      </c>
    </row>
    <row r="14" customFormat="1" spans="1:12">
      <c r="A14" s="66">
        <v>12</v>
      </c>
      <c r="B14" s="67" t="s">
        <v>47</v>
      </c>
      <c r="C14" s="68" t="s">
        <v>61</v>
      </c>
      <c r="D14" s="95" t="s">
        <v>62</v>
      </c>
      <c r="E14" s="70">
        <v>45383</v>
      </c>
      <c r="F14" s="71">
        <v>45383</v>
      </c>
      <c r="G14" s="55" t="s">
        <v>13</v>
      </c>
      <c r="H14" s="55" t="s">
        <v>63</v>
      </c>
      <c r="I14" s="55" t="s">
        <v>64</v>
      </c>
      <c r="J14" s="92"/>
      <c r="K14" t="str">
        <v>徐熙堂</v>
      </c>
      <c r="L14" t="str">
        <v>薛飞阳</v>
      </c>
    </row>
    <row r="15" customFormat="1" spans="1:12">
      <c r="A15" s="66">
        <v>13</v>
      </c>
      <c r="B15" s="67" t="s">
        <v>65</v>
      </c>
      <c r="C15" s="68" t="s">
        <v>66</v>
      </c>
      <c r="D15" s="96" t="s">
        <v>67</v>
      </c>
      <c r="E15" s="70">
        <v>45413</v>
      </c>
      <c r="F15" s="71">
        <v>45363</v>
      </c>
      <c r="G15" s="55" t="s">
        <v>21</v>
      </c>
      <c r="H15" s="55" t="s">
        <v>68</v>
      </c>
      <c r="I15" s="55" t="s">
        <v>23</v>
      </c>
      <c r="J15" s="92"/>
      <c r="K15" t="str">
        <v>陶书华</v>
      </c>
      <c r="L15" t="str">
        <v>麻凤娟</v>
      </c>
    </row>
    <row r="16" customFormat="1" spans="1:12">
      <c r="A16" s="66">
        <v>14</v>
      </c>
      <c r="B16" s="67" t="s">
        <v>65</v>
      </c>
      <c r="C16" s="68" t="s">
        <v>69</v>
      </c>
      <c r="D16" s="96" t="s">
        <v>70</v>
      </c>
      <c r="E16" s="70">
        <v>45413</v>
      </c>
      <c r="F16" s="71">
        <v>45418</v>
      </c>
      <c r="G16" s="55" t="s">
        <v>13</v>
      </c>
      <c r="H16" s="55" t="s">
        <v>71</v>
      </c>
      <c r="I16" s="55" t="s">
        <v>72</v>
      </c>
      <c r="J16" s="92"/>
      <c r="K16" t="str">
        <v>韦诚</v>
      </c>
      <c r="L16" t="str">
        <v>黄丽娇</v>
      </c>
    </row>
    <row r="17" customFormat="1" spans="1:12">
      <c r="A17" s="66">
        <v>15</v>
      </c>
      <c r="B17" s="67" t="s">
        <v>65</v>
      </c>
      <c r="C17" s="68" t="s">
        <v>73</v>
      </c>
      <c r="D17" s="96" t="s">
        <v>74</v>
      </c>
      <c r="E17" s="70">
        <v>45505</v>
      </c>
      <c r="F17" s="71">
        <v>45505</v>
      </c>
      <c r="G17" s="55" t="s">
        <v>54</v>
      </c>
      <c r="H17" s="55" t="s">
        <v>75</v>
      </c>
      <c r="I17" s="55">
        <v>0</v>
      </c>
      <c r="J17" s="92"/>
      <c r="K17" t="str">
        <v>廖梅佟</v>
      </c>
      <c r="L17" t="e">
        <v>#N/A</v>
      </c>
    </row>
    <row r="18" customFormat="1" spans="1:12">
      <c r="A18" s="66">
        <v>16</v>
      </c>
      <c r="B18" s="73" t="s">
        <v>65</v>
      </c>
      <c r="C18" s="68" t="s">
        <v>76</v>
      </c>
      <c r="D18" s="97" t="s">
        <v>77</v>
      </c>
      <c r="E18" s="75">
        <v>45505</v>
      </c>
      <c r="F18" s="71">
        <v>45505</v>
      </c>
      <c r="G18" s="55" t="s">
        <v>13</v>
      </c>
      <c r="H18" s="55" t="s">
        <v>78</v>
      </c>
      <c r="I18" s="55" t="s">
        <v>79</v>
      </c>
      <c r="J18" s="92"/>
      <c r="K18" t="str">
        <v>许方耀</v>
      </c>
      <c r="L18" t="str">
        <v>徐熙堂</v>
      </c>
    </row>
    <row r="19" customFormat="1" spans="1:12">
      <c r="A19" s="66">
        <v>17</v>
      </c>
      <c r="B19" s="73" t="s">
        <v>65</v>
      </c>
      <c r="C19" s="68" t="s">
        <v>80</v>
      </c>
      <c r="D19" s="97" t="s">
        <v>81</v>
      </c>
      <c r="E19" s="75">
        <v>45505</v>
      </c>
      <c r="F19" s="71">
        <v>45512</v>
      </c>
      <c r="G19" s="55" t="s">
        <v>58</v>
      </c>
      <c r="H19" s="55" t="s">
        <v>82</v>
      </c>
      <c r="I19" s="55" t="s">
        <v>83</v>
      </c>
      <c r="J19" s="92"/>
      <c r="K19" t="str">
        <v>龙玉涛</v>
      </c>
      <c r="L19" t="e">
        <v>#N/A</v>
      </c>
    </row>
    <row r="20" customFormat="1" spans="1:12">
      <c r="A20" s="66">
        <v>18</v>
      </c>
      <c r="B20" s="73" t="s">
        <v>84</v>
      </c>
      <c r="C20" s="68" t="s">
        <v>85</v>
      </c>
      <c r="D20" s="74" t="s">
        <v>86</v>
      </c>
      <c r="E20" s="75">
        <v>45536</v>
      </c>
      <c r="F20" s="71">
        <v>45536</v>
      </c>
      <c r="G20" s="76" t="s">
        <v>13</v>
      </c>
      <c r="H20" s="76" t="s">
        <v>87</v>
      </c>
      <c r="I20" s="76" t="s">
        <v>88</v>
      </c>
      <c r="J20" s="92"/>
      <c r="K20" t="str">
        <v>伍世昀</v>
      </c>
      <c r="L20" t="e">
        <v>#N/A</v>
      </c>
    </row>
    <row r="21" customFormat="1" spans="1:12">
      <c r="A21" s="66">
        <v>19</v>
      </c>
      <c r="B21" s="73" t="s">
        <v>65</v>
      </c>
      <c r="C21" s="68" t="s">
        <v>89</v>
      </c>
      <c r="D21" s="97" t="s">
        <v>90</v>
      </c>
      <c r="E21" s="75">
        <v>45536</v>
      </c>
      <c r="F21" s="71">
        <v>45536</v>
      </c>
      <c r="G21" s="77" t="s">
        <v>21</v>
      </c>
      <c r="H21" s="77" t="s">
        <v>91</v>
      </c>
      <c r="I21" s="77" t="s">
        <v>23</v>
      </c>
      <c r="J21" s="92"/>
      <c r="K21" t="str">
        <v>许挣伟</v>
      </c>
      <c r="L21" t="str">
        <v>陶书华</v>
      </c>
    </row>
    <row r="22" customFormat="1" spans="1:12">
      <c r="A22" s="66">
        <v>20</v>
      </c>
      <c r="B22" s="73" t="s">
        <v>65</v>
      </c>
      <c r="C22" s="68" t="s">
        <v>92</v>
      </c>
      <c r="D22" s="74" t="s">
        <v>93</v>
      </c>
      <c r="E22" s="75">
        <v>45597</v>
      </c>
      <c r="F22" s="71">
        <v>45575</v>
      </c>
      <c r="G22" s="77" t="s">
        <v>21</v>
      </c>
      <c r="H22" s="77" t="s">
        <v>94</v>
      </c>
      <c r="I22" s="77" t="s">
        <v>23</v>
      </c>
      <c r="J22" s="92"/>
      <c r="K22" t="str">
        <v>黄美为</v>
      </c>
      <c r="L22" t="str">
        <v>韦诚</v>
      </c>
    </row>
    <row r="23" customFormat="1" spans="1:12">
      <c r="A23" s="66">
        <v>21</v>
      </c>
      <c r="B23" s="73" t="s">
        <v>65</v>
      </c>
      <c r="C23" s="68" t="s">
        <v>95</v>
      </c>
      <c r="D23" s="97" t="s">
        <v>96</v>
      </c>
      <c r="E23" s="75">
        <v>45597</v>
      </c>
      <c r="F23" s="71">
        <v>45597</v>
      </c>
      <c r="G23" s="77" t="s">
        <v>21</v>
      </c>
      <c r="H23" s="77" t="s">
        <v>97</v>
      </c>
      <c r="I23" s="77" t="s">
        <v>98</v>
      </c>
      <c r="J23" s="92"/>
      <c r="L23" t="e">
        <v>#N/A</v>
      </c>
    </row>
    <row r="24" customFormat="1" spans="1:12">
      <c r="A24" s="66">
        <v>22</v>
      </c>
      <c r="B24" s="73" t="s">
        <v>65</v>
      </c>
      <c r="C24" s="68" t="s">
        <v>99</v>
      </c>
      <c r="D24" s="97" t="s">
        <v>100</v>
      </c>
      <c r="E24" s="75">
        <v>45627</v>
      </c>
      <c r="F24" s="71">
        <v>45627</v>
      </c>
      <c r="G24" s="77" t="s">
        <v>54</v>
      </c>
      <c r="H24" s="77" t="s">
        <v>101</v>
      </c>
      <c r="I24" s="77" t="s">
        <v>102</v>
      </c>
      <c r="J24" s="92"/>
      <c r="L24" t="e">
        <v>#N/A</v>
      </c>
    </row>
    <row r="25" customFormat="1" spans="1:12">
      <c r="A25" s="66">
        <v>23</v>
      </c>
      <c r="B25" s="73" t="s">
        <v>65</v>
      </c>
      <c r="C25" s="68" t="s">
        <v>103</v>
      </c>
      <c r="D25" s="97" t="s">
        <v>104</v>
      </c>
      <c r="E25" s="75">
        <v>45689</v>
      </c>
      <c r="F25" s="71">
        <v>45644</v>
      </c>
      <c r="G25" s="77" t="s">
        <v>13</v>
      </c>
      <c r="H25" s="77" t="s">
        <v>71</v>
      </c>
      <c r="I25" s="77" t="s">
        <v>105</v>
      </c>
      <c r="J25" s="92"/>
      <c r="L25" t="str">
        <v>廖梅佟</v>
      </c>
    </row>
    <row r="26" customFormat="1" spans="1:12">
      <c r="A26" s="66">
        <v>24</v>
      </c>
      <c r="B26" s="73" t="s">
        <v>65</v>
      </c>
      <c r="C26" s="68" t="s">
        <v>106</v>
      </c>
      <c r="D26" s="97" t="s">
        <v>107</v>
      </c>
      <c r="E26" s="75">
        <v>45748</v>
      </c>
      <c r="F26" s="71">
        <v>45748</v>
      </c>
      <c r="G26" s="77" t="s">
        <v>13</v>
      </c>
      <c r="H26" s="77" t="s">
        <v>78</v>
      </c>
      <c r="I26" s="77" t="s">
        <v>108</v>
      </c>
      <c r="J26" s="92"/>
      <c r="L26" t="e">
        <v>#N/A</v>
      </c>
    </row>
    <row r="27" customFormat="1" spans="1:12">
      <c r="A27" s="66">
        <v>25</v>
      </c>
      <c r="B27" s="73" t="s">
        <v>65</v>
      </c>
      <c r="C27" s="68" t="s">
        <v>109</v>
      </c>
      <c r="D27" s="97" t="s">
        <v>110</v>
      </c>
      <c r="E27" s="75">
        <v>45748</v>
      </c>
      <c r="F27" s="71">
        <v>45748</v>
      </c>
      <c r="G27" s="77" t="s">
        <v>21</v>
      </c>
      <c r="H27" s="77" t="s">
        <v>111</v>
      </c>
      <c r="I27" s="77" t="s">
        <v>108</v>
      </c>
      <c r="J27" s="92"/>
      <c r="L27" t="e">
        <v>#N/A</v>
      </c>
    </row>
    <row r="28" s="58" customFormat="1" spans="1:12">
      <c r="A28" s="66">
        <v>26</v>
      </c>
      <c r="B28" s="72" t="s">
        <v>65</v>
      </c>
      <c r="C28" s="78" t="s">
        <v>112</v>
      </c>
      <c r="D28" s="79" t="s">
        <v>113</v>
      </c>
      <c r="E28" s="70">
        <v>45778</v>
      </c>
      <c r="F28" s="80">
        <v>45778</v>
      </c>
      <c r="G28" s="78" t="s">
        <v>58</v>
      </c>
      <c r="H28" s="78" t="s">
        <v>114</v>
      </c>
      <c r="I28" s="78" t="s">
        <v>115</v>
      </c>
      <c r="J28" s="78"/>
      <c r="L28" s="58" t="e">
        <v>#N/A</v>
      </c>
    </row>
    <row r="29" s="58" customFormat="1" spans="1:12">
      <c r="A29" s="66">
        <v>27</v>
      </c>
      <c r="B29" s="72" t="s">
        <v>65</v>
      </c>
      <c r="C29" s="81" t="s">
        <v>116</v>
      </c>
      <c r="D29" s="98" t="s">
        <v>117</v>
      </c>
      <c r="E29" s="70">
        <v>45809</v>
      </c>
      <c r="F29" s="80">
        <v>45799</v>
      </c>
      <c r="G29" s="78" t="s">
        <v>21</v>
      </c>
      <c r="H29" s="78" t="s">
        <v>68</v>
      </c>
      <c r="I29" s="78" t="s">
        <v>108</v>
      </c>
      <c r="J29" s="93"/>
      <c r="L29" s="58" t="e">
        <v>#N/A</v>
      </c>
    </row>
    <row r="30" s="58" customFormat="1" spans="1:12">
      <c r="A30" s="66">
        <v>28</v>
      </c>
      <c r="B30" s="72" t="s">
        <v>65</v>
      </c>
      <c r="C30" s="81" t="s">
        <v>118</v>
      </c>
      <c r="D30" s="98" t="s">
        <v>119</v>
      </c>
      <c r="E30" s="70">
        <v>45809</v>
      </c>
      <c r="F30" s="80">
        <v>45809</v>
      </c>
      <c r="G30" s="78" t="s">
        <v>13</v>
      </c>
      <c r="H30" s="78" t="s">
        <v>120</v>
      </c>
      <c r="I30" s="78" t="s">
        <v>28</v>
      </c>
      <c r="J30" s="93"/>
      <c r="L30" s="58" t="str">
        <v>许方耀</v>
      </c>
    </row>
    <row r="31" s="58" customFormat="1" spans="1:12">
      <c r="A31" s="66">
        <v>29</v>
      </c>
      <c r="B31" s="72" t="s">
        <v>65</v>
      </c>
      <c r="C31" s="81" t="s">
        <v>121</v>
      </c>
      <c r="D31" s="98" t="s">
        <v>119</v>
      </c>
      <c r="E31" s="70">
        <v>45809</v>
      </c>
      <c r="F31" s="80">
        <v>45811</v>
      </c>
      <c r="G31" s="78" t="s">
        <v>13</v>
      </c>
      <c r="H31" s="78" t="s">
        <v>122</v>
      </c>
      <c r="I31" s="78" t="s">
        <v>123</v>
      </c>
      <c r="J31" s="93"/>
      <c r="L31" s="58" t="str">
        <v>龙玉涛</v>
      </c>
    </row>
    <row r="32" s="58" customFormat="1" spans="1:12">
      <c r="A32" s="66">
        <v>30</v>
      </c>
      <c r="B32" s="72" t="s">
        <v>65</v>
      </c>
      <c r="C32" s="81" t="s">
        <v>124</v>
      </c>
      <c r="D32" s="98" t="s">
        <v>125</v>
      </c>
      <c r="E32" s="70">
        <v>45840</v>
      </c>
      <c r="F32" s="80">
        <v>45831</v>
      </c>
      <c r="G32" s="78" t="s">
        <v>13</v>
      </c>
      <c r="H32" s="78" t="s">
        <v>126</v>
      </c>
      <c r="I32" s="78" t="s">
        <v>127</v>
      </c>
      <c r="J32" s="93"/>
      <c r="L32" s="58" t="str">
        <v>伍世昀</v>
      </c>
    </row>
    <row r="33" s="58" customFormat="1" spans="1:12">
      <c r="A33" s="66">
        <v>31</v>
      </c>
      <c r="B33" s="72" t="s">
        <v>65</v>
      </c>
      <c r="C33" s="81" t="s">
        <v>128</v>
      </c>
      <c r="D33" s="98" t="s">
        <v>129</v>
      </c>
      <c r="E33" s="70">
        <v>45841</v>
      </c>
      <c r="F33" s="80">
        <v>45839</v>
      </c>
      <c r="G33" s="78" t="s">
        <v>21</v>
      </c>
      <c r="H33" s="78" t="s">
        <v>130</v>
      </c>
      <c r="I33" s="78" t="s">
        <v>23</v>
      </c>
      <c r="J33" s="93"/>
      <c r="L33" s="58" t="str">
        <v>许挣伟</v>
      </c>
    </row>
    <row r="34" s="58" customFormat="1" spans="1:12">
      <c r="A34" s="66">
        <v>32</v>
      </c>
      <c r="B34" s="83" t="s">
        <v>65</v>
      </c>
      <c r="C34" s="81" t="s">
        <v>131</v>
      </c>
      <c r="D34" s="98" t="s">
        <v>132</v>
      </c>
      <c r="E34" s="70">
        <v>45870</v>
      </c>
      <c r="F34" s="80">
        <v>45867</v>
      </c>
      <c r="G34" s="78" t="s">
        <v>21</v>
      </c>
      <c r="H34" s="78" t="s">
        <v>68</v>
      </c>
      <c r="I34" s="78" t="s">
        <v>133</v>
      </c>
      <c r="J34" s="93"/>
      <c r="L34" s="58" t="str">
        <v>黄美为</v>
      </c>
    </row>
    <row r="35" s="59" customFormat="1" spans="1:12">
      <c r="A35" s="84">
        <v>33</v>
      </c>
      <c r="B35" s="85" t="s">
        <v>65</v>
      </c>
      <c r="C35" s="86" t="s">
        <v>134</v>
      </c>
      <c r="D35" s="99" t="s">
        <v>135</v>
      </c>
      <c r="E35" s="88">
        <v>45992</v>
      </c>
      <c r="F35" s="89">
        <v>46013</v>
      </c>
      <c r="G35" s="90" t="s">
        <v>21</v>
      </c>
      <c r="H35" s="90"/>
      <c r="I35" s="90"/>
      <c r="J35" s="94" t="s">
        <v>136</v>
      </c>
      <c r="L35" s="59" t="e">
        <v>#N/A</v>
      </c>
    </row>
    <row r="36" s="59" customFormat="1" spans="1:12">
      <c r="A36" s="84">
        <v>34</v>
      </c>
      <c r="B36" s="85" t="s">
        <v>65</v>
      </c>
      <c r="C36" s="86" t="s">
        <v>137</v>
      </c>
      <c r="D36" s="99" t="s">
        <v>138</v>
      </c>
      <c r="E36" s="88">
        <v>45992</v>
      </c>
      <c r="F36" s="89">
        <v>46013</v>
      </c>
      <c r="G36" s="90" t="s">
        <v>21</v>
      </c>
      <c r="H36" s="90"/>
      <c r="I36" s="90"/>
      <c r="J36" s="94" t="s">
        <v>136</v>
      </c>
      <c r="L36" s="59" t="e">
        <v>#N/A</v>
      </c>
    </row>
    <row r="37" s="59" customFormat="1" spans="1:12">
      <c r="A37" s="84">
        <v>35</v>
      </c>
      <c r="B37" s="85" t="s">
        <v>65</v>
      </c>
      <c r="C37" s="86" t="s">
        <v>139</v>
      </c>
      <c r="D37" s="87" t="s">
        <v>140</v>
      </c>
      <c r="E37" s="88">
        <v>45992</v>
      </c>
      <c r="F37" s="89">
        <v>46013</v>
      </c>
      <c r="G37" s="90" t="s">
        <v>21</v>
      </c>
      <c r="H37" s="90"/>
      <c r="I37" s="90"/>
      <c r="J37" s="94" t="s">
        <v>136</v>
      </c>
      <c r="L37" s="59" t="e">
        <v>#N/A</v>
      </c>
    </row>
    <row r="38" spans="12:12">
      <c r="L38" t="e">
        <v>#N/A</v>
      </c>
    </row>
    <row r="39" spans="12:12">
      <c r="L39" t="e">
        <v>#N/A</v>
      </c>
    </row>
    <row r="40" spans="12:12">
      <c r="L40" t="e">
        <v>#N/A</v>
      </c>
    </row>
    <row r="41" spans="12:12">
      <c r="L41" t="e">
        <v>#N/A</v>
      </c>
    </row>
    <row r="42" customFormat="1" spans="6:12">
      <c r="F42" s="60"/>
      <c r="L42" t="e">
        <v>#N/A</v>
      </c>
    </row>
    <row r="43" s="59" customFormat="1" spans="1:12">
      <c r="A43" s="84">
        <v>1</v>
      </c>
      <c r="B43" s="85" t="s">
        <v>65</v>
      </c>
      <c r="C43" s="86" t="s">
        <v>141</v>
      </c>
      <c r="D43" s="100" t="s">
        <v>142</v>
      </c>
      <c r="E43" s="88">
        <v>45444</v>
      </c>
      <c r="F43" s="89">
        <v>45439</v>
      </c>
      <c r="G43" s="90" t="s">
        <v>21</v>
      </c>
      <c r="H43" s="90" t="s">
        <v>143</v>
      </c>
      <c r="I43" s="90" t="s">
        <v>144</v>
      </c>
      <c r="J43" s="94" t="s">
        <v>145</v>
      </c>
      <c r="L43" s="59" t="str">
        <v>韦继勇</v>
      </c>
    </row>
    <row r="44" customFormat="1" spans="6:6">
      <c r="F44" s="60"/>
    </row>
    <row r="45" customFormat="1" spans="6:6">
      <c r="F45" s="60"/>
    </row>
    <row r="46" customFormat="1" spans="6:6">
      <c r="F46" s="60"/>
    </row>
    <row r="47" customFormat="1" spans="6:6">
      <c r="F47" s="60"/>
    </row>
    <row r="48" customFormat="1" spans="6:6">
      <c r="F48" s="60"/>
    </row>
    <row r="49" customFormat="1" spans="6:6">
      <c r="F49" s="60"/>
    </row>
    <row r="50" customFormat="1" spans="6:6">
      <c r="F50" s="60"/>
    </row>
  </sheetData>
  <autoFilter xmlns:etc="http://www.wps.cn/officeDocument/2017/etCustomData" ref="A2:L70" etc:filterBottomFollowUsedRange="0">
    <extLst/>
  </autoFilter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zoomScale="85" zoomScaleNormal="85" workbookViewId="0">
      <selection activeCell="U7" sqref="U7"/>
    </sheetView>
  </sheetViews>
  <sheetFormatPr defaultColWidth="8.99166666666667" defaultRowHeight="13.5"/>
  <cols>
    <col min="1" max="1" width="5.60833333333333" customWidth="1"/>
    <col min="2" max="2" width="16.575" customWidth="1"/>
    <col min="3" max="3" width="29.0333333333333" customWidth="1"/>
    <col min="4" max="4" width="18.5666666666667" customWidth="1"/>
    <col min="5" max="5" width="14.0833333333333" customWidth="1"/>
    <col min="6" max="6" width="14.575" customWidth="1"/>
    <col min="7" max="7" width="14.95" customWidth="1"/>
  </cols>
  <sheetData>
    <row r="1" ht="16.5" spans="1:20">
      <c r="A1" s="29" t="s">
        <v>0</v>
      </c>
      <c r="B1" s="7" t="s">
        <v>2</v>
      </c>
      <c r="C1" s="7" t="s">
        <v>146</v>
      </c>
      <c r="D1" s="7" t="s">
        <v>8</v>
      </c>
      <c r="E1" s="7" t="s">
        <v>6</v>
      </c>
      <c r="F1" s="7" t="s">
        <v>5</v>
      </c>
      <c r="G1" s="7" t="s">
        <v>147</v>
      </c>
      <c r="H1" s="7" t="s">
        <v>9</v>
      </c>
      <c r="I1" s="7" t="s">
        <v>148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6.5" spans="1:20">
      <c r="A2" s="29"/>
      <c r="B2" s="7"/>
      <c r="C2" s="7"/>
      <c r="D2" s="7"/>
      <c r="E2" s="7"/>
      <c r="F2" s="7"/>
      <c r="G2" s="7"/>
      <c r="H2" s="7"/>
      <c r="I2" s="7">
        <f>SUM(I5:I36)</f>
        <v>17</v>
      </c>
      <c r="J2" s="7">
        <f t="shared" ref="J2:T2" si="0">SUM(J5:J36)</f>
        <v>17</v>
      </c>
      <c r="K2" s="7">
        <f t="shared" si="0"/>
        <v>16</v>
      </c>
      <c r="L2" s="7">
        <f t="shared" si="0"/>
        <v>15</v>
      </c>
      <c r="M2" s="7">
        <f t="shared" si="0"/>
        <v>15</v>
      </c>
      <c r="N2" s="7">
        <f t="shared" si="0"/>
        <v>17</v>
      </c>
      <c r="O2" s="7">
        <f t="shared" si="0"/>
        <v>19</v>
      </c>
      <c r="P2" s="7">
        <f t="shared" si="0"/>
        <v>20</v>
      </c>
      <c r="Q2" s="7">
        <f t="shared" si="0"/>
        <v>20</v>
      </c>
      <c r="R2" s="7">
        <f t="shared" si="0"/>
        <v>20</v>
      </c>
      <c r="S2" s="7">
        <f t="shared" si="0"/>
        <v>20</v>
      </c>
      <c r="T2" s="7">
        <f t="shared" si="0"/>
        <v>20</v>
      </c>
    </row>
    <row r="3" ht="17.25" spans="1:20">
      <c r="A3" s="29"/>
      <c r="B3" s="9"/>
      <c r="C3" s="10"/>
      <c r="D3" s="7"/>
      <c r="E3" s="7"/>
      <c r="F3" s="7"/>
      <c r="G3" s="7"/>
      <c r="H3" s="7"/>
      <c r="I3" s="7">
        <v>42</v>
      </c>
      <c r="J3" s="29">
        <v>42</v>
      </c>
      <c r="K3" s="29">
        <v>41</v>
      </c>
      <c r="L3" s="29">
        <v>41</v>
      </c>
      <c r="M3" s="29">
        <v>41</v>
      </c>
      <c r="N3" s="29">
        <v>44</v>
      </c>
      <c r="O3" s="29">
        <v>45</v>
      </c>
      <c r="P3" s="29">
        <v>61</v>
      </c>
      <c r="Q3" s="29">
        <v>58</v>
      </c>
      <c r="R3" s="29">
        <v>33</v>
      </c>
      <c r="S3" s="29">
        <v>33</v>
      </c>
      <c r="T3" s="29">
        <v>36</v>
      </c>
    </row>
    <row r="4" ht="16.5" spans="1:20">
      <c r="A4" s="29"/>
      <c r="B4" s="9"/>
      <c r="C4" s="10"/>
      <c r="D4" s="7"/>
      <c r="E4" s="7"/>
      <c r="F4" s="7"/>
      <c r="G4" s="7"/>
      <c r="H4" s="7"/>
      <c r="I4" s="7" t="s">
        <v>149</v>
      </c>
      <c r="J4" s="7" t="s">
        <v>150</v>
      </c>
      <c r="K4" s="7" t="s">
        <v>151</v>
      </c>
      <c r="L4" s="7" t="s">
        <v>152</v>
      </c>
      <c r="M4" s="7" t="s">
        <v>153</v>
      </c>
      <c r="N4" s="7" t="s">
        <v>154</v>
      </c>
      <c r="O4" s="7" t="s">
        <v>155</v>
      </c>
      <c r="P4" s="7" t="s">
        <v>156</v>
      </c>
      <c r="Q4" s="7" t="s">
        <v>157</v>
      </c>
      <c r="R4" s="7" t="s">
        <v>158</v>
      </c>
      <c r="S4" s="7" t="s">
        <v>159</v>
      </c>
      <c r="T4" s="7" t="s">
        <v>160</v>
      </c>
    </row>
    <row r="5" ht="19" customHeight="1" spans="1:20">
      <c r="A5" s="30">
        <v>1</v>
      </c>
      <c r="B5" s="7" t="s">
        <v>11</v>
      </c>
      <c r="C5" s="7" t="s">
        <v>14</v>
      </c>
      <c r="D5" s="7" t="s">
        <v>15</v>
      </c>
      <c r="E5" s="7" t="s">
        <v>13</v>
      </c>
      <c r="F5" s="31">
        <v>45027</v>
      </c>
      <c r="G5" s="32">
        <v>45108</v>
      </c>
      <c r="H5" s="31"/>
      <c r="I5" s="55">
        <v>1</v>
      </c>
      <c r="J5" s="55">
        <v>1</v>
      </c>
      <c r="K5" s="55">
        <v>1</v>
      </c>
      <c r="L5" s="55">
        <v>1</v>
      </c>
      <c r="M5" s="55">
        <v>1</v>
      </c>
      <c r="N5" s="55">
        <v>1</v>
      </c>
      <c r="O5" s="55">
        <v>1</v>
      </c>
      <c r="P5" s="55">
        <v>1</v>
      </c>
      <c r="Q5" s="55">
        <v>1</v>
      </c>
      <c r="R5" s="55">
        <v>1</v>
      </c>
      <c r="S5" s="55">
        <v>1</v>
      </c>
      <c r="T5" s="55">
        <v>1</v>
      </c>
    </row>
    <row r="6" ht="19" customHeight="1" spans="1:20">
      <c r="A6" s="30">
        <v>2</v>
      </c>
      <c r="B6" s="7" t="s">
        <v>19</v>
      </c>
      <c r="C6" s="7" t="s">
        <v>22</v>
      </c>
      <c r="D6" s="7" t="s">
        <v>23</v>
      </c>
      <c r="E6" s="7" t="s">
        <v>21</v>
      </c>
      <c r="F6" s="31">
        <v>45131</v>
      </c>
      <c r="G6" s="32">
        <v>45139</v>
      </c>
      <c r="H6" s="31"/>
      <c r="I6" s="55">
        <v>1</v>
      </c>
      <c r="J6" s="55">
        <v>1</v>
      </c>
      <c r="K6" s="55">
        <v>1</v>
      </c>
      <c r="L6" s="55">
        <v>1</v>
      </c>
      <c r="M6" s="55">
        <v>1</v>
      </c>
      <c r="N6" s="55">
        <v>1</v>
      </c>
      <c r="O6" s="55">
        <v>1</v>
      </c>
      <c r="P6" s="55">
        <v>1</v>
      </c>
      <c r="Q6" s="55">
        <v>1</v>
      </c>
      <c r="R6" s="55">
        <v>1</v>
      </c>
      <c r="S6" s="55">
        <v>1</v>
      </c>
      <c r="T6" s="55">
        <v>1</v>
      </c>
    </row>
    <row r="7" ht="19" customHeight="1" spans="1:20">
      <c r="A7" s="30">
        <v>3</v>
      </c>
      <c r="B7" s="7" t="s">
        <v>25</v>
      </c>
      <c r="C7" s="7" t="s">
        <v>27</v>
      </c>
      <c r="D7" s="7" t="s">
        <v>28</v>
      </c>
      <c r="E7" s="7" t="s">
        <v>13</v>
      </c>
      <c r="F7" s="31">
        <v>45174</v>
      </c>
      <c r="G7" s="32">
        <v>45170</v>
      </c>
      <c r="H7" s="31"/>
      <c r="I7" s="55">
        <v>1</v>
      </c>
      <c r="J7" s="55">
        <v>1</v>
      </c>
      <c r="K7" s="55">
        <v>1</v>
      </c>
      <c r="L7" s="55">
        <v>1</v>
      </c>
      <c r="M7" s="55">
        <v>1</v>
      </c>
      <c r="N7" s="55">
        <v>1</v>
      </c>
      <c r="O7" s="55">
        <v>1</v>
      </c>
      <c r="P7" s="55">
        <v>1</v>
      </c>
      <c r="Q7" s="55">
        <v>1</v>
      </c>
      <c r="R7" s="55">
        <v>1</v>
      </c>
      <c r="S7" s="55">
        <v>1</v>
      </c>
      <c r="T7" s="55">
        <v>1</v>
      </c>
    </row>
    <row r="8" ht="19" customHeight="1" spans="1:20">
      <c r="A8" s="30">
        <v>4</v>
      </c>
      <c r="B8" s="7" t="s">
        <v>34</v>
      </c>
      <c r="C8" s="7" t="s">
        <v>36</v>
      </c>
      <c r="D8" s="7" t="s">
        <v>37</v>
      </c>
      <c r="E8" s="7" t="s">
        <v>21</v>
      </c>
      <c r="F8" s="31">
        <v>45176</v>
      </c>
      <c r="G8" s="32">
        <v>45200</v>
      </c>
      <c r="H8" s="31"/>
      <c r="I8" s="55">
        <v>1</v>
      </c>
      <c r="J8" s="55">
        <v>1</v>
      </c>
      <c r="K8" s="55">
        <v>1</v>
      </c>
      <c r="L8" s="55">
        <v>1</v>
      </c>
      <c r="M8" s="55">
        <v>1</v>
      </c>
      <c r="N8" s="55">
        <v>1</v>
      </c>
      <c r="O8" s="55">
        <v>1</v>
      </c>
      <c r="P8" s="55">
        <v>1</v>
      </c>
      <c r="Q8" s="55">
        <v>1</v>
      </c>
      <c r="R8" s="55">
        <v>1</v>
      </c>
      <c r="S8" s="55">
        <v>1</v>
      </c>
      <c r="T8" s="55">
        <v>1</v>
      </c>
    </row>
    <row r="9" ht="19" customHeight="1" spans="1:20">
      <c r="A9" s="30">
        <v>5</v>
      </c>
      <c r="B9" s="7" t="s">
        <v>38</v>
      </c>
      <c r="C9" s="7" t="s">
        <v>40</v>
      </c>
      <c r="D9" s="7" t="s">
        <v>41</v>
      </c>
      <c r="E9" s="7" t="s">
        <v>21</v>
      </c>
      <c r="F9" s="31">
        <v>45233</v>
      </c>
      <c r="G9" s="32">
        <v>45231</v>
      </c>
      <c r="H9" s="31"/>
      <c r="I9" s="55">
        <v>1</v>
      </c>
      <c r="J9" s="55">
        <v>1</v>
      </c>
      <c r="K9" s="55">
        <v>1</v>
      </c>
      <c r="L9" s="55">
        <v>1</v>
      </c>
      <c r="M9" s="55">
        <v>1</v>
      </c>
      <c r="N9" s="55">
        <v>1</v>
      </c>
      <c r="O9" s="55">
        <v>1</v>
      </c>
      <c r="P9" s="55">
        <v>1</v>
      </c>
      <c r="Q9" s="55">
        <v>1</v>
      </c>
      <c r="R9" s="55">
        <v>1</v>
      </c>
      <c r="S9" s="55">
        <v>1</v>
      </c>
      <c r="T9" s="55">
        <v>1</v>
      </c>
    </row>
    <row r="10" ht="19" customHeight="1" spans="1:20">
      <c r="A10" s="30">
        <v>6</v>
      </c>
      <c r="B10" s="33" t="s">
        <v>43</v>
      </c>
      <c r="C10" s="33" t="s">
        <v>45</v>
      </c>
      <c r="D10" s="33" t="s">
        <v>46</v>
      </c>
      <c r="E10" s="33" t="s">
        <v>13</v>
      </c>
      <c r="F10" s="34">
        <v>45376</v>
      </c>
      <c r="G10" s="35">
        <v>45383</v>
      </c>
      <c r="H10" s="31"/>
      <c r="I10" s="55">
        <v>1</v>
      </c>
      <c r="J10" s="55">
        <v>1</v>
      </c>
      <c r="K10" s="55">
        <v>1</v>
      </c>
      <c r="L10" s="55">
        <v>1</v>
      </c>
      <c r="M10" s="55">
        <v>1</v>
      </c>
      <c r="N10" s="55">
        <v>1</v>
      </c>
      <c r="O10" s="55">
        <v>1</v>
      </c>
      <c r="P10" s="55">
        <v>1</v>
      </c>
      <c r="Q10" s="55">
        <v>1</v>
      </c>
      <c r="R10" s="55">
        <v>1</v>
      </c>
      <c r="S10" s="55">
        <v>1</v>
      </c>
      <c r="T10" s="55">
        <v>1</v>
      </c>
    </row>
    <row r="11" ht="19" customHeight="1" spans="1:20">
      <c r="A11" s="30">
        <v>7</v>
      </c>
      <c r="B11" s="7" t="s">
        <v>48</v>
      </c>
      <c r="C11" s="7" t="s">
        <v>50</v>
      </c>
      <c r="D11" s="7" t="s">
        <v>51</v>
      </c>
      <c r="E11" s="7" t="s">
        <v>13</v>
      </c>
      <c r="F11" s="31">
        <v>45383</v>
      </c>
      <c r="G11" s="32">
        <v>45383</v>
      </c>
      <c r="H11" s="31"/>
      <c r="I11" s="55">
        <v>1</v>
      </c>
      <c r="J11" s="55">
        <v>1</v>
      </c>
      <c r="K11" s="55">
        <v>1</v>
      </c>
      <c r="L11" s="55">
        <v>1</v>
      </c>
      <c r="M11" s="55">
        <v>1</v>
      </c>
      <c r="N11" s="55">
        <v>1</v>
      </c>
      <c r="O11" s="55">
        <v>1</v>
      </c>
      <c r="P11" s="55">
        <v>1</v>
      </c>
      <c r="Q11" s="55">
        <v>1</v>
      </c>
      <c r="R11" s="55">
        <v>1</v>
      </c>
      <c r="S11" s="55">
        <v>1</v>
      </c>
      <c r="T11" s="55">
        <v>1</v>
      </c>
    </row>
    <row r="12" ht="19" customHeight="1" spans="1:20">
      <c r="A12" s="30">
        <v>8</v>
      </c>
      <c r="B12" s="7" t="s">
        <v>61</v>
      </c>
      <c r="C12" s="7" t="s">
        <v>63</v>
      </c>
      <c r="D12" s="7" t="s">
        <v>64</v>
      </c>
      <c r="E12" s="7" t="s">
        <v>13</v>
      </c>
      <c r="F12" s="31">
        <v>45383</v>
      </c>
      <c r="G12" s="32">
        <v>45383</v>
      </c>
      <c r="H12" s="31"/>
      <c r="I12" s="55">
        <v>1</v>
      </c>
      <c r="J12" s="55">
        <v>1</v>
      </c>
      <c r="K12" s="55">
        <v>1</v>
      </c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</row>
    <row r="13" ht="19" customHeight="1" spans="1:20">
      <c r="A13" s="30">
        <v>9</v>
      </c>
      <c r="B13" s="7" t="s">
        <v>66</v>
      </c>
      <c r="C13" s="7" t="s">
        <v>68</v>
      </c>
      <c r="D13" s="7" t="s">
        <v>23</v>
      </c>
      <c r="E13" s="7" t="s">
        <v>21</v>
      </c>
      <c r="F13" s="31">
        <v>45363</v>
      </c>
      <c r="G13" s="32">
        <v>45413</v>
      </c>
      <c r="H13" s="31"/>
      <c r="I13" s="55">
        <v>1</v>
      </c>
      <c r="J13" s="55">
        <v>1</v>
      </c>
      <c r="K13" s="55">
        <v>1</v>
      </c>
      <c r="L13" s="55">
        <v>1</v>
      </c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</row>
    <row r="14" ht="19" customHeight="1" spans="1:20">
      <c r="A14" s="30">
        <v>10</v>
      </c>
      <c r="B14" s="7" t="s">
        <v>69</v>
      </c>
      <c r="C14" s="7" t="s">
        <v>71</v>
      </c>
      <c r="D14" s="7" t="s">
        <v>72</v>
      </c>
      <c r="E14" s="7" t="s">
        <v>13</v>
      </c>
      <c r="F14" s="31">
        <v>45418</v>
      </c>
      <c r="G14" s="32">
        <v>45413</v>
      </c>
      <c r="H14" s="31"/>
      <c r="I14" s="55">
        <v>1</v>
      </c>
      <c r="J14" s="55">
        <v>1</v>
      </c>
      <c r="K14" s="55">
        <v>1</v>
      </c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</row>
    <row r="15" ht="19" customHeight="1" spans="1:20">
      <c r="A15" s="30">
        <v>11</v>
      </c>
      <c r="B15" s="7" t="s">
        <v>141</v>
      </c>
      <c r="C15" s="7" t="s">
        <v>143</v>
      </c>
      <c r="D15" s="7" t="s">
        <v>144</v>
      </c>
      <c r="E15" s="7" t="s">
        <v>21</v>
      </c>
      <c r="F15" s="31">
        <v>45439</v>
      </c>
      <c r="G15" s="32">
        <v>45444</v>
      </c>
      <c r="H15" s="31"/>
      <c r="I15" s="55">
        <v>1</v>
      </c>
      <c r="J15" s="55">
        <v>1</v>
      </c>
      <c r="K15" s="55">
        <v>1</v>
      </c>
      <c r="L15" s="55">
        <v>1</v>
      </c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</row>
    <row r="16" ht="19" customHeight="1" spans="1:20">
      <c r="A16" s="30">
        <v>12</v>
      </c>
      <c r="B16" s="7" t="s">
        <v>76</v>
      </c>
      <c r="C16" s="7" t="s">
        <v>78</v>
      </c>
      <c r="D16" s="7" t="s">
        <v>79</v>
      </c>
      <c r="E16" s="7" t="s">
        <v>13</v>
      </c>
      <c r="F16" s="31">
        <v>45505</v>
      </c>
      <c r="G16" s="32">
        <v>45505</v>
      </c>
      <c r="H16" s="31"/>
      <c r="I16" s="55">
        <v>1</v>
      </c>
      <c r="J16" s="55">
        <v>1</v>
      </c>
      <c r="K16" s="55">
        <v>1</v>
      </c>
      <c r="L16" s="55">
        <v>1</v>
      </c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5">
        <v>1</v>
      </c>
      <c r="T16" s="55">
        <v>1</v>
      </c>
    </row>
    <row r="17" ht="19" customHeight="1" spans="1:20">
      <c r="A17" s="30">
        <v>13</v>
      </c>
      <c r="B17" s="7" t="s">
        <v>89</v>
      </c>
      <c r="C17" s="13" t="s">
        <v>91</v>
      </c>
      <c r="D17" s="13" t="s">
        <v>23</v>
      </c>
      <c r="E17" s="7" t="s">
        <v>21</v>
      </c>
      <c r="F17" s="31">
        <v>45536</v>
      </c>
      <c r="G17" s="32">
        <v>45536</v>
      </c>
      <c r="H17" s="31"/>
      <c r="I17" s="55">
        <v>1</v>
      </c>
      <c r="J17" s="55">
        <v>1</v>
      </c>
      <c r="K17" s="55">
        <v>1</v>
      </c>
      <c r="L17" s="55">
        <v>1</v>
      </c>
      <c r="M17" s="55">
        <v>1</v>
      </c>
      <c r="N17" s="55">
        <v>1</v>
      </c>
      <c r="O17" s="55">
        <v>1</v>
      </c>
      <c r="P17" s="55">
        <v>1</v>
      </c>
      <c r="Q17" s="55">
        <v>1</v>
      </c>
      <c r="R17" s="55">
        <v>1</v>
      </c>
      <c r="S17" s="55">
        <v>1</v>
      </c>
      <c r="T17" s="55">
        <v>1</v>
      </c>
    </row>
    <row r="18" ht="19" customHeight="1" spans="1:20">
      <c r="A18" s="30">
        <v>14</v>
      </c>
      <c r="B18" s="7" t="s">
        <v>92</v>
      </c>
      <c r="C18" s="13" t="s">
        <v>94</v>
      </c>
      <c r="D18" s="13" t="s">
        <v>23</v>
      </c>
      <c r="E18" s="7" t="s">
        <v>21</v>
      </c>
      <c r="F18" s="31">
        <v>45575</v>
      </c>
      <c r="G18" s="36">
        <v>45597</v>
      </c>
      <c r="H18" s="31"/>
      <c r="I18" s="55">
        <v>1</v>
      </c>
      <c r="J18" s="55">
        <v>1</v>
      </c>
      <c r="K18" s="55">
        <v>1</v>
      </c>
      <c r="L18" s="55">
        <v>1</v>
      </c>
      <c r="M18" s="55">
        <v>1</v>
      </c>
      <c r="N18" s="55">
        <v>1</v>
      </c>
      <c r="O18" s="55">
        <v>1</v>
      </c>
      <c r="P18" s="55">
        <v>1</v>
      </c>
      <c r="Q18" s="55">
        <v>1</v>
      </c>
      <c r="R18" s="55">
        <v>1</v>
      </c>
      <c r="S18" s="55">
        <v>1</v>
      </c>
      <c r="T18" s="55">
        <v>1</v>
      </c>
    </row>
    <row r="19" ht="19" customHeight="1" spans="1:20">
      <c r="A19" s="30">
        <v>15</v>
      </c>
      <c r="B19" s="7" t="s">
        <v>103</v>
      </c>
      <c r="C19" s="13" t="s">
        <v>71</v>
      </c>
      <c r="D19" s="13" t="s">
        <v>105</v>
      </c>
      <c r="E19" s="7" t="s">
        <v>13</v>
      </c>
      <c r="F19" s="31">
        <v>45644</v>
      </c>
      <c r="G19" s="37"/>
      <c r="H19" s="38"/>
      <c r="I19" s="55">
        <v>1</v>
      </c>
      <c r="J19" s="55">
        <v>1</v>
      </c>
      <c r="K19" s="55">
        <v>1</v>
      </c>
      <c r="L19" s="55">
        <v>1</v>
      </c>
      <c r="M19" s="55">
        <v>1</v>
      </c>
      <c r="N19" s="55">
        <v>1</v>
      </c>
      <c r="O19" s="55">
        <v>1</v>
      </c>
      <c r="P19" s="55">
        <v>1</v>
      </c>
      <c r="Q19" s="55">
        <v>1</v>
      </c>
      <c r="R19" s="55">
        <v>1</v>
      </c>
      <c r="S19" s="55">
        <v>1</v>
      </c>
      <c r="T19" s="55">
        <v>1</v>
      </c>
    </row>
    <row r="20" ht="19" customHeight="1" spans="1:20">
      <c r="A20" s="30">
        <v>16</v>
      </c>
      <c r="B20" s="7" t="s">
        <v>118</v>
      </c>
      <c r="C20" s="7" t="s">
        <v>120</v>
      </c>
      <c r="D20" s="7" t="s">
        <v>28</v>
      </c>
      <c r="E20" s="7" t="s">
        <v>13</v>
      </c>
      <c r="F20" s="31">
        <v>45809</v>
      </c>
      <c r="G20" s="32">
        <v>45809</v>
      </c>
      <c r="H20" s="38"/>
      <c r="I20" s="55"/>
      <c r="J20" s="55"/>
      <c r="K20" s="55"/>
      <c r="L20" s="55"/>
      <c r="M20" s="55"/>
      <c r="N20" s="55">
        <v>1</v>
      </c>
      <c r="O20" s="55">
        <v>1</v>
      </c>
      <c r="P20" s="55">
        <v>1</v>
      </c>
      <c r="Q20" s="55">
        <v>1</v>
      </c>
      <c r="R20" s="55">
        <v>1</v>
      </c>
      <c r="S20" s="55">
        <v>1</v>
      </c>
      <c r="T20" s="55">
        <v>1</v>
      </c>
    </row>
    <row r="21" ht="19" customHeight="1" spans="1:20">
      <c r="A21" s="30">
        <v>17</v>
      </c>
      <c r="B21" s="7" t="s">
        <v>121</v>
      </c>
      <c r="C21" s="7" t="s">
        <v>122</v>
      </c>
      <c r="D21" s="7" t="s">
        <v>123</v>
      </c>
      <c r="E21" s="7" t="s">
        <v>13</v>
      </c>
      <c r="F21" s="31">
        <v>45811</v>
      </c>
      <c r="G21" s="32">
        <v>45809</v>
      </c>
      <c r="H21" s="38"/>
      <c r="I21" s="55"/>
      <c r="J21" s="55"/>
      <c r="K21" s="55"/>
      <c r="L21" s="55"/>
      <c r="M21" s="55"/>
      <c r="N21" s="55">
        <v>1</v>
      </c>
      <c r="O21" s="55">
        <v>1</v>
      </c>
      <c r="P21" s="55">
        <v>1</v>
      </c>
      <c r="Q21" s="55">
        <v>1</v>
      </c>
      <c r="R21" s="55">
        <v>1</v>
      </c>
      <c r="S21" s="55">
        <v>1</v>
      </c>
      <c r="T21" s="55">
        <v>1</v>
      </c>
    </row>
    <row r="22" ht="19" customHeight="1" spans="1:20">
      <c r="A22" s="30">
        <v>18</v>
      </c>
      <c r="B22" s="13" t="s">
        <v>124</v>
      </c>
      <c r="C22" s="13" t="s">
        <v>126</v>
      </c>
      <c r="D22" s="13" t="s">
        <v>127</v>
      </c>
      <c r="E22" s="13" t="s">
        <v>13</v>
      </c>
      <c r="F22" s="31">
        <v>45831</v>
      </c>
      <c r="G22" s="39">
        <v>45839</v>
      </c>
      <c r="H22" s="37"/>
      <c r="I22" s="55"/>
      <c r="J22" s="55"/>
      <c r="K22" s="55"/>
      <c r="L22" s="55"/>
      <c r="M22" s="55"/>
      <c r="N22" s="55"/>
      <c r="O22" s="55">
        <v>1</v>
      </c>
      <c r="P22" s="55">
        <v>1</v>
      </c>
      <c r="Q22" s="55">
        <v>1</v>
      </c>
      <c r="R22" s="55">
        <v>1</v>
      </c>
      <c r="S22" s="55">
        <v>1</v>
      </c>
      <c r="T22" s="55">
        <v>1</v>
      </c>
    </row>
    <row r="23" ht="19" customHeight="1" spans="1:20">
      <c r="A23" s="30">
        <v>19</v>
      </c>
      <c r="B23" s="13" t="s">
        <v>128</v>
      </c>
      <c r="C23" s="13" t="s">
        <v>130</v>
      </c>
      <c r="D23" s="13" t="s">
        <v>23</v>
      </c>
      <c r="E23" s="13" t="s">
        <v>21</v>
      </c>
      <c r="F23" s="31">
        <v>45839</v>
      </c>
      <c r="G23" s="39">
        <v>45839</v>
      </c>
      <c r="H23" s="37"/>
      <c r="I23" s="55"/>
      <c r="J23" s="55"/>
      <c r="K23" s="55"/>
      <c r="L23" s="55"/>
      <c r="M23" s="55"/>
      <c r="N23" s="55"/>
      <c r="O23" s="55">
        <v>1</v>
      </c>
      <c r="P23" s="55">
        <v>1</v>
      </c>
      <c r="Q23" s="55">
        <v>1</v>
      </c>
      <c r="R23" s="55">
        <v>1</v>
      </c>
      <c r="S23" s="55">
        <v>1</v>
      </c>
      <c r="T23" s="55">
        <v>1</v>
      </c>
    </row>
    <row r="24" ht="19" customHeight="1" spans="1:20">
      <c r="A24" s="30">
        <v>20</v>
      </c>
      <c r="B24" s="13" t="s">
        <v>131</v>
      </c>
      <c r="C24" s="13" t="s">
        <v>68</v>
      </c>
      <c r="D24" s="13" t="s">
        <v>133</v>
      </c>
      <c r="E24" s="13" t="s">
        <v>21</v>
      </c>
      <c r="F24" s="31">
        <v>45867</v>
      </c>
      <c r="G24" s="39">
        <v>45870</v>
      </c>
      <c r="H24" s="37"/>
      <c r="I24" s="55"/>
      <c r="J24" s="55"/>
      <c r="K24" s="55"/>
      <c r="L24" s="55"/>
      <c r="M24" s="55"/>
      <c r="N24" s="55"/>
      <c r="O24" s="55"/>
      <c r="P24" s="7">
        <v>1</v>
      </c>
      <c r="Q24" s="7">
        <v>1</v>
      </c>
      <c r="R24" s="7">
        <v>1</v>
      </c>
      <c r="S24" s="7">
        <v>1</v>
      </c>
      <c r="T24" s="7">
        <v>1</v>
      </c>
    </row>
    <row r="25" ht="19" customHeight="1" spans="1:20">
      <c r="A25" s="30">
        <v>1</v>
      </c>
      <c r="B25" s="40" t="s">
        <v>161</v>
      </c>
      <c r="C25" s="41" t="s">
        <v>162</v>
      </c>
      <c r="D25" s="41" t="s">
        <v>51</v>
      </c>
      <c r="E25" s="41" t="s">
        <v>13</v>
      </c>
      <c r="F25" s="42">
        <v>44881</v>
      </c>
      <c r="G25" s="43">
        <v>44866</v>
      </c>
      <c r="H25" s="37"/>
      <c r="I25" s="55"/>
      <c r="J25" s="55"/>
      <c r="K25" s="55"/>
      <c r="L25" s="55"/>
      <c r="M25" s="55"/>
      <c r="N25" s="55"/>
      <c r="O25" s="55"/>
      <c r="P25" s="7"/>
      <c r="Q25" s="55"/>
      <c r="R25" s="55"/>
      <c r="S25" s="55"/>
      <c r="T25" s="55"/>
    </row>
    <row r="26" ht="19" customHeight="1" spans="1:20">
      <c r="A26" s="30">
        <v>2</v>
      </c>
      <c r="B26" s="40" t="s">
        <v>163</v>
      </c>
      <c r="C26" s="24" t="s">
        <v>164</v>
      </c>
      <c r="D26" s="41" t="s">
        <v>23</v>
      </c>
      <c r="E26" s="24" t="s">
        <v>21</v>
      </c>
      <c r="F26" s="44">
        <v>44935</v>
      </c>
      <c r="G26" s="43">
        <v>44927</v>
      </c>
      <c r="H26" s="37"/>
      <c r="I26" s="55"/>
      <c r="J26" s="55"/>
      <c r="K26" s="55"/>
      <c r="L26" s="55"/>
      <c r="M26" s="55"/>
      <c r="N26" s="55"/>
      <c r="O26" s="55"/>
      <c r="P26" s="7"/>
      <c r="Q26" s="55"/>
      <c r="R26" s="55"/>
      <c r="S26" s="55"/>
      <c r="T26" s="55"/>
    </row>
    <row r="27" ht="19" customHeight="1" spans="1:20">
      <c r="A27" s="30">
        <v>3</v>
      </c>
      <c r="B27" s="40" t="s">
        <v>165</v>
      </c>
      <c r="C27" s="24" t="s">
        <v>166</v>
      </c>
      <c r="D27" s="41" t="s">
        <v>144</v>
      </c>
      <c r="E27" s="24" t="s">
        <v>21</v>
      </c>
      <c r="F27" s="44">
        <v>44999</v>
      </c>
      <c r="G27" s="43">
        <v>45017</v>
      </c>
      <c r="H27" s="45"/>
      <c r="I27" s="55"/>
      <c r="J27" s="55"/>
      <c r="K27" s="55"/>
      <c r="L27" s="55"/>
      <c r="M27" s="55"/>
      <c r="N27" s="55"/>
      <c r="O27" s="55"/>
      <c r="P27" s="13"/>
      <c r="Q27" s="55"/>
      <c r="R27" s="55"/>
      <c r="S27" s="55"/>
      <c r="T27" s="55"/>
    </row>
    <row r="28" ht="19" customHeight="1" spans="1:20">
      <c r="A28" s="30">
        <v>4</v>
      </c>
      <c r="B28" s="46" t="s">
        <v>167</v>
      </c>
      <c r="C28" s="24" t="s">
        <v>168</v>
      </c>
      <c r="D28" s="24" t="s">
        <v>169</v>
      </c>
      <c r="E28" s="24" t="s">
        <v>13</v>
      </c>
      <c r="F28" s="44">
        <v>45153</v>
      </c>
      <c r="G28" s="43">
        <v>45139</v>
      </c>
      <c r="H28" s="45"/>
      <c r="I28" s="55"/>
      <c r="J28" s="55"/>
      <c r="K28" s="55"/>
      <c r="L28" s="55"/>
      <c r="M28" s="55"/>
      <c r="N28" s="55"/>
      <c r="O28" s="55"/>
      <c r="P28" s="13"/>
      <c r="Q28" s="55"/>
      <c r="R28" s="55"/>
      <c r="S28" s="55"/>
      <c r="T28" s="55"/>
    </row>
    <row r="29" ht="19" customHeight="1" spans="1:20">
      <c r="A29" s="30">
        <v>5</v>
      </c>
      <c r="B29" s="46" t="s">
        <v>170</v>
      </c>
      <c r="C29" s="24" t="s">
        <v>171</v>
      </c>
      <c r="D29" s="24" t="s">
        <v>172</v>
      </c>
      <c r="E29" s="24" t="s">
        <v>13</v>
      </c>
      <c r="F29" s="44">
        <v>45078</v>
      </c>
      <c r="G29" s="43">
        <v>45078</v>
      </c>
      <c r="H29" s="45"/>
      <c r="I29" s="55"/>
      <c r="J29" s="55"/>
      <c r="K29" s="55"/>
      <c r="L29" s="55"/>
      <c r="M29" s="55"/>
      <c r="N29" s="55"/>
      <c r="O29" s="55"/>
      <c r="P29" s="56"/>
      <c r="Q29" s="55"/>
      <c r="R29" s="55"/>
      <c r="S29" s="55"/>
      <c r="T29" s="55"/>
    </row>
    <row r="30" ht="19" customHeight="1" spans="1:20">
      <c r="A30" s="30">
        <v>6</v>
      </c>
      <c r="B30" s="46" t="s">
        <v>173</v>
      </c>
      <c r="C30" s="24" t="s">
        <v>174</v>
      </c>
      <c r="D30" s="24" t="s">
        <v>175</v>
      </c>
      <c r="E30" s="24" t="s">
        <v>13</v>
      </c>
      <c r="F30" s="44">
        <v>44896</v>
      </c>
      <c r="G30" s="43">
        <v>44896</v>
      </c>
      <c r="H30" s="4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</row>
    <row r="31" ht="19" customHeight="1" spans="1:20">
      <c r="A31" s="30">
        <v>7</v>
      </c>
      <c r="B31" s="14" t="s">
        <v>176</v>
      </c>
      <c r="C31" s="14" t="s">
        <v>177</v>
      </c>
      <c r="D31" s="14" t="s">
        <v>178</v>
      </c>
      <c r="E31" s="14" t="s">
        <v>13</v>
      </c>
      <c r="F31" s="47">
        <v>45383</v>
      </c>
      <c r="G31" s="48">
        <v>45383</v>
      </c>
      <c r="H31" s="49" t="s">
        <v>179</v>
      </c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</row>
    <row r="32" ht="19" customHeight="1" spans="1:20">
      <c r="A32" s="30">
        <v>8</v>
      </c>
      <c r="B32" s="14" t="s">
        <v>180</v>
      </c>
      <c r="C32" s="14" t="s">
        <v>181</v>
      </c>
      <c r="D32" s="14" t="s">
        <v>178</v>
      </c>
      <c r="E32" s="14" t="s">
        <v>13</v>
      </c>
      <c r="F32" s="47">
        <v>45383</v>
      </c>
      <c r="G32" s="48">
        <v>45383</v>
      </c>
      <c r="H32" s="49" t="s">
        <v>179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</row>
    <row r="33" ht="19" customHeight="1" spans="1:20">
      <c r="A33" s="30">
        <v>9</v>
      </c>
      <c r="B33" s="14" t="s">
        <v>182</v>
      </c>
      <c r="C33" s="14" t="s">
        <v>183</v>
      </c>
      <c r="D33" s="14" t="s">
        <v>178</v>
      </c>
      <c r="E33" s="14" t="s">
        <v>13</v>
      </c>
      <c r="F33" s="47">
        <v>45383</v>
      </c>
      <c r="G33" s="48">
        <v>45383</v>
      </c>
      <c r="H33" s="49" t="s">
        <v>179</v>
      </c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</row>
    <row r="34" ht="19" customHeight="1" spans="1:20">
      <c r="A34" s="30">
        <v>10</v>
      </c>
      <c r="B34" s="17" t="s">
        <v>184</v>
      </c>
      <c r="C34" s="17" t="s">
        <v>185</v>
      </c>
      <c r="D34" s="17" t="s">
        <v>144</v>
      </c>
      <c r="E34" s="17" t="s">
        <v>21</v>
      </c>
      <c r="F34" s="50">
        <v>45492</v>
      </c>
      <c r="G34" s="51">
        <v>45505</v>
      </c>
      <c r="H34" s="31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</row>
    <row r="35" ht="19" customHeight="1" spans="1:20">
      <c r="A35" s="30">
        <v>11</v>
      </c>
      <c r="B35" s="17" t="s">
        <v>186</v>
      </c>
      <c r="C35" s="17" t="s">
        <v>187</v>
      </c>
      <c r="D35" s="17" t="s">
        <v>188</v>
      </c>
      <c r="E35" s="17" t="s">
        <v>13</v>
      </c>
      <c r="F35" s="50">
        <v>45108</v>
      </c>
      <c r="G35" s="51">
        <v>45108</v>
      </c>
      <c r="H35" s="50"/>
      <c r="I35" s="16">
        <v>1</v>
      </c>
      <c r="J35" s="16">
        <v>1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</row>
    <row r="36" ht="19" customHeight="1" spans="1:20">
      <c r="A36" s="30">
        <v>12</v>
      </c>
      <c r="B36" s="17" t="s">
        <v>189</v>
      </c>
      <c r="C36" s="17" t="s">
        <v>190</v>
      </c>
      <c r="D36" s="17" t="s">
        <v>191</v>
      </c>
      <c r="E36" s="17" t="s">
        <v>21</v>
      </c>
      <c r="F36" s="50">
        <v>45027</v>
      </c>
      <c r="G36" s="51">
        <v>45108</v>
      </c>
      <c r="H36" s="50"/>
      <c r="I36" s="57">
        <v>1</v>
      </c>
      <c r="J36" s="57">
        <v>1</v>
      </c>
      <c r="K36" s="57">
        <v>1</v>
      </c>
      <c r="L36" s="55"/>
      <c r="M36" s="55"/>
      <c r="N36" s="55"/>
      <c r="O36" s="55"/>
      <c r="P36" s="55"/>
      <c r="Q36" s="55"/>
      <c r="R36" s="55"/>
      <c r="S36" s="55"/>
      <c r="T36" s="55"/>
    </row>
    <row r="37" ht="19" customHeight="1" spans="1:20">
      <c r="A37" s="30">
        <v>13</v>
      </c>
      <c r="B37" s="17" t="s">
        <v>192</v>
      </c>
      <c r="C37" s="17" t="s">
        <v>193</v>
      </c>
      <c r="D37" s="17" t="s">
        <v>178</v>
      </c>
      <c r="E37" s="17" t="s">
        <v>13</v>
      </c>
      <c r="F37" s="17">
        <v>45383</v>
      </c>
      <c r="G37" s="17">
        <v>45383</v>
      </c>
      <c r="H37" s="17" t="s">
        <v>179</v>
      </c>
      <c r="I37" s="17">
        <v>1</v>
      </c>
      <c r="J37" s="17">
        <v>1</v>
      </c>
      <c r="K37" s="17">
        <v>1</v>
      </c>
      <c r="L37" s="17">
        <v>1</v>
      </c>
      <c r="M37" s="55"/>
      <c r="N37" s="55"/>
      <c r="O37" s="55"/>
      <c r="P37" s="55"/>
      <c r="Q37" s="55"/>
      <c r="R37" s="55"/>
      <c r="S37" s="55"/>
      <c r="T37" s="55"/>
    </row>
    <row r="38" ht="19" customHeight="1" spans="1:20">
      <c r="A38" s="30">
        <v>14</v>
      </c>
      <c r="B38" s="17" t="s">
        <v>194</v>
      </c>
      <c r="C38" s="17" t="s">
        <v>195</v>
      </c>
      <c r="D38" s="17" t="s">
        <v>23</v>
      </c>
      <c r="E38" s="17" t="s">
        <v>21</v>
      </c>
      <c r="F38" s="17">
        <v>45513</v>
      </c>
      <c r="G38" s="17">
        <v>45536</v>
      </c>
      <c r="H38" s="17"/>
      <c r="I38" s="17">
        <v>1</v>
      </c>
      <c r="J38" s="17">
        <v>1</v>
      </c>
      <c r="K38" s="17">
        <v>1</v>
      </c>
      <c r="L38" s="17">
        <v>1</v>
      </c>
      <c r="M38" s="55"/>
      <c r="N38" s="55"/>
      <c r="O38" s="55"/>
      <c r="P38" s="55"/>
      <c r="Q38" s="55"/>
      <c r="R38" s="55"/>
      <c r="S38" s="55"/>
      <c r="T38" s="55"/>
    </row>
    <row r="39" ht="19" customHeight="1" spans="1:20">
      <c r="A39" s="30">
        <v>15</v>
      </c>
      <c r="B39" s="14" t="s">
        <v>196</v>
      </c>
      <c r="C39" s="14" t="s">
        <v>193</v>
      </c>
      <c r="D39" s="14" t="s">
        <v>178</v>
      </c>
      <c r="E39" s="17" t="s">
        <v>13</v>
      </c>
      <c r="F39" s="50">
        <v>45778</v>
      </c>
      <c r="G39" s="14"/>
      <c r="H39" s="52"/>
      <c r="I39" s="57"/>
      <c r="J39" s="57"/>
      <c r="K39" s="57"/>
      <c r="L39" s="57"/>
      <c r="M39" s="57">
        <v>1</v>
      </c>
      <c r="N39" s="55"/>
      <c r="O39" s="55"/>
      <c r="P39" s="7"/>
      <c r="Q39" s="55"/>
      <c r="R39" s="55"/>
      <c r="S39" s="55"/>
      <c r="T39" s="55"/>
    </row>
    <row r="40" ht="19" customHeight="1" spans="1:20">
      <c r="A40" s="30">
        <v>16</v>
      </c>
      <c r="B40" s="14" t="s">
        <v>197</v>
      </c>
      <c r="C40" s="14" t="s">
        <v>97</v>
      </c>
      <c r="D40" s="14" t="s">
        <v>198</v>
      </c>
      <c r="E40" s="14" t="s">
        <v>21</v>
      </c>
      <c r="F40" s="14">
        <v>45395</v>
      </c>
      <c r="G40" s="14">
        <v>45383</v>
      </c>
      <c r="H40" s="14"/>
      <c r="I40" s="14">
        <v>1</v>
      </c>
      <c r="J40" s="14">
        <v>1</v>
      </c>
      <c r="K40" s="14">
        <v>1</v>
      </c>
      <c r="L40" s="14">
        <v>1</v>
      </c>
      <c r="M40" s="14">
        <v>1</v>
      </c>
      <c r="N40" s="14">
        <v>1</v>
      </c>
      <c r="O40" s="14">
        <v>1</v>
      </c>
      <c r="P40" s="7"/>
      <c r="Q40" s="55"/>
      <c r="R40" s="55"/>
      <c r="S40" s="55"/>
      <c r="T40" s="55"/>
    </row>
    <row r="41" ht="19" customHeight="1" spans="1:20">
      <c r="A41" s="30">
        <v>17</v>
      </c>
      <c r="B41" s="14" t="s">
        <v>199</v>
      </c>
      <c r="C41" s="14" t="s">
        <v>200</v>
      </c>
      <c r="D41" s="14" t="s">
        <v>178</v>
      </c>
      <c r="E41" s="14" t="s">
        <v>13</v>
      </c>
      <c r="F41" s="47">
        <v>45383</v>
      </c>
      <c r="G41" s="48">
        <v>45383</v>
      </c>
      <c r="H41" s="53" t="s">
        <v>179</v>
      </c>
      <c r="I41" s="57">
        <v>1</v>
      </c>
      <c r="J41" s="57">
        <v>1</v>
      </c>
      <c r="K41" s="57">
        <v>1</v>
      </c>
      <c r="L41" s="57">
        <v>1</v>
      </c>
      <c r="M41" s="57">
        <v>1</v>
      </c>
      <c r="N41" s="57">
        <v>1</v>
      </c>
      <c r="O41" s="57">
        <v>1</v>
      </c>
      <c r="P41" s="57">
        <v>1</v>
      </c>
      <c r="Q41" s="57">
        <v>1</v>
      </c>
      <c r="R41" s="55"/>
      <c r="S41" s="55"/>
      <c r="T41" s="55"/>
    </row>
    <row r="42" ht="19" customHeight="1" spans="1:20">
      <c r="A42" s="30">
        <v>18</v>
      </c>
      <c r="B42" s="14" t="s">
        <v>201</v>
      </c>
      <c r="C42" s="14" t="s">
        <v>202</v>
      </c>
      <c r="D42" s="14" t="s">
        <v>178</v>
      </c>
      <c r="E42" s="14" t="s">
        <v>13</v>
      </c>
      <c r="F42" s="47">
        <v>45383</v>
      </c>
      <c r="G42" s="48">
        <v>45383</v>
      </c>
      <c r="H42" s="53" t="s">
        <v>179</v>
      </c>
      <c r="I42" s="57">
        <v>1</v>
      </c>
      <c r="J42" s="57">
        <v>1</v>
      </c>
      <c r="K42" s="57">
        <v>1</v>
      </c>
      <c r="L42" s="57">
        <v>1</v>
      </c>
      <c r="M42" s="57">
        <v>1</v>
      </c>
      <c r="N42" s="57">
        <v>1</v>
      </c>
      <c r="O42" s="57">
        <v>1</v>
      </c>
      <c r="P42" s="57">
        <v>1</v>
      </c>
      <c r="Q42" s="57">
        <v>1</v>
      </c>
      <c r="R42" s="55"/>
      <c r="S42" s="55"/>
      <c r="T42" s="55"/>
    </row>
    <row r="43" s="28" customFormat="1" ht="19" customHeight="1" spans="1:20">
      <c r="A43" s="30">
        <v>19</v>
      </c>
      <c r="B43" s="17" t="s">
        <v>203</v>
      </c>
      <c r="C43" s="17" t="s">
        <v>204</v>
      </c>
      <c r="D43" s="17" t="s">
        <v>205</v>
      </c>
      <c r="E43" s="17" t="s">
        <v>21</v>
      </c>
      <c r="F43" s="50">
        <v>45505</v>
      </c>
      <c r="G43" s="51">
        <v>45505</v>
      </c>
      <c r="H43" s="50"/>
      <c r="I43" s="57">
        <v>1</v>
      </c>
      <c r="J43" s="57">
        <v>1</v>
      </c>
      <c r="K43" s="57">
        <v>1</v>
      </c>
      <c r="L43" s="57">
        <v>1</v>
      </c>
      <c r="M43" s="57">
        <v>1</v>
      </c>
      <c r="N43" s="57">
        <v>1</v>
      </c>
      <c r="O43" s="57">
        <v>1</v>
      </c>
      <c r="P43" s="57">
        <v>1</v>
      </c>
      <c r="Q43" s="57">
        <v>1</v>
      </c>
      <c r="R43" s="56"/>
      <c r="S43" s="56"/>
      <c r="T43" s="56"/>
    </row>
    <row r="44" ht="19" customHeight="1" spans="1:20">
      <c r="A44" s="30">
        <v>20</v>
      </c>
      <c r="B44" s="17" t="s">
        <v>206</v>
      </c>
      <c r="C44" s="14" t="s">
        <v>207</v>
      </c>
      <c r="D44" s="14" t="s">
        <v>208</v>
      </c>
      <c r="E44" s="17" t="s">
        <v>13</v>
      </c>
      <c r="F44" s="50">
        <v>45640</v>
      </c>
      <c r="G44" s="52"/>
      <c r="H44" s="52"/>
      <c r="I44" s="57">
        <v>1</v>
      </c>
      <c r="J44" s="57">
        <v>1</v>
      </c>
      <c r="K44" s="57">
        <v>1</v>
      </c>
      <c r="L44" s="57">
        <v>1</v>
      </c>
      <c r="M44" s="57">
        <v>1</v>
      </c>
      <c r="N44" s="57">
        <v>1</v>
      </c>
      <c r="O44" s="57">
        <v>1</v>
      </c>
      <c r="P44" s="57">
        <v>1</v>
      </c>
      <c r="Q44" s="57">
        <v>1</v>
      </c>
      <c r="R44" s="55"/>
      <c r="S44" s="55"/>
      <c r="T44" s="55"/>
    </row>
    <row r="45" ht="19" customHeight="1" spans="1:20">
      <c r="A45" s="30">
        <v>21</v>
      </c>
      <c r="B45" s="14" t="s">
        <v>209</v>
      </c>
      <c r="C45" s="14" t="s">
        <v>210</v>
      </c>
      <c r="D45" s="14" t="s">
        <v>178</v>
      </c>
      <c r="E45" s="14" t="s">
        <v>13</v>
      </c>
      <c r="F45" s="50">
        <v>45839</v>
      </c>
      <c r="G45" s="43">
        <v>45839</v>
      </c>
      <c r="H45" s="52"/>
      <c r="I45" s="57"/>
      <c r="J45" s="57"/>
      <c r="K45" s="57"/>
      <c r="L45" s="57"/>
      <c r="M45" s="57"/>
      <c r="N45" s="57"/>
      <c r="O45" s="57">
        <v>1</v>
      </c>
      <c r="P45" s="57">
        <v>1</v>
      </c>
      <c r="Q45" s="57">
        <v>1</v>
      </c>
      <c r="R45" s="55"/>
      <c r="S45" s="55"/>
      <c r="T45" s="55"/>
    </row>
    <row r="48" ht="16.5" spans="2:3">
      <c r="B48" s="21"/>
      <c r="C48" s="20" t="s">
        <v>211</v>
      </c>
    </row>
    <row r="49" ht="16.5" spans="2:3">
      <c r="B49" s="54"/>
      <c r="C49" s="20" t="s">
        <v>212</v>
      </c>
    </row>
    <row r="50" ht="16.5" spans="2:3">
      <c r="B50" s="20" t="s">
        <v>213</v>
      </c>
      <c r="C50" s="20" t="s">
        <v>214</v>
      </c>
    </row>
  </sheetData>
  <autoFilter xmlns:etc="http://www.wps.cn/officeDocument/2017/etCustomData" ref="A4:T50" etc:filterBottomFollowUsedRange="0">
    <extLst/>
  </autoFilter>
  <mergeCells count="9">
    <mergeCell ref="I1:T1"/>
    <mergeCell ref="A1:A4"/>
    <mergeCell ref="B1:B4"/>
    <mergeCell ref="C1:C4"/>
    <mergeCell ref="D1:D4"/>
    <mergeCell ref="E1:E4"/>
    <mergeCell ref="F1:F4"/>
    <mergeCell ref="G1:G4"/>
    <mergeCell ref="H1:H4"/>
  </mergeCells>
  <conditionalFormatting sqref="P24">
    <cfRule type="duplicateValues" dxfId="0" priority="45"/>
  </conditionalFormatting>
  <conditionalFormatting sqref="Q24"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</conditionalFormatting>
  <conditionalFormatting sqref="R24"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</conditionalFormatting>
  <conditionalFormatting sqref="S24"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</conditionalFormatting>
  <conditionalFormatting sqref="T24"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P25">
    <cfRule type="duplicateValues" dxfId="0" priority="40"/>
    <cfRule type="duplicateValues" dxfId="0" priority="41"/>
    <cfRule type="duplicateValues" dxfId="0" priority="42"/>
  </conditionalFormatting>
  <conditionalFormatting sqref="P26">
    <cfRule type="duplicateValues" dxfId="0" priority="36"/>
    <cfRule type="duplicateValues" dxfId="0" priority="37"/>
  </conditionalFormatting>
  <conditionalFormatting sqref="B28">
    <cfRule type="duplicateValues" dxfId="1" priority="109" stopIfTrue="1"/>
    <cfRule type="duplicateValues" dxfId="1" priority="110" stopIfTrue="1"/>
  </conditionalFormatting>
  <conditionalFormatting sqref="P28">
    <cfRule type="duplicateValues" dxfId="0" priority="54"/>
    <cfRule type="duplicateValues" dxfId="0" priority="55"/>
    <cfRule type="duplicateValues" dxfId="0" priority="56"/>
  </conditionalFormatting>
  <conditionalFormatting sqref="B29">
    <cfRule type="duplicateValues" dxfId="1" priority="107" stopIfTrue="1"/>
    <cfRule type="duplicateValues" dxfId="1" priority="108" stopIfTrue="1"/>
  </conditionalFormatting>
  <conditionalFormatting sqref="B30">
    <cfRule type="duplicateValues" dxfId="1" priority="105" stopIfTrue="1"/>
    <cfRule type="duplicateValues" dxfId="1" priority="106" stopIfTrue="1"/>
  </conditionalFormatting>
  <conditionalFormatting sqref="P40">
    <cfRule type="duplicateValues" dxfId="0" priority="57"/>
    <cfRule type="duplicateValues" dxfId="0" priority="58"/>
    <cfRule type="duplicateValues" dxfId="0" priority="67"/>
    <cfRule type="duplicateValues" dxfId="0" priority="68"/>
    <cfRule type="duplicateValues" dxfId="0" priority="69"/>
  </conditionalFormatting>
  <conditionalFormatting sqref="P25:P26">
    <cfRule type="duplicateValues" dxfId="0" priority="34"/>
    <cfRule type="duplicateValues" dxfId="0" priority="35"/>
    <cfRule type="duplicateValues" dxfId="0" priority="38"/>
    <cfRule type="duplicateValues" dxfId="0" priority="39"/>
  </conditionalFormatting>
  <conditionalFormatting sqref="B5:B18 B41:B43 B25:B36">
    <cfRule type="duplicateValues" dxfId="0" priority="104"/>
  </conditionalFormatting>
  <conditionalFormatting sqref="B5:B19 B41:B44 B25:B36">
    <cfRule type="duplicateValues" dxfId="0" priority="80"/>
  </conditionalFormatting>
  <conditionalFormatting sqref="B5:B19 B41:B44 P39:P40 B25:B39 P24:P28">
    <cfRule type="duplicateValues" dxfId="0" priority="32"/>
  </conditionalFormatting>
  <conditionalFormatting sqref="B20:D21">
    <cfRule type="duplicateValues" dxfId="0" priority="30"/>
    <cfRule type="duplicateValues" dxfId="0" priority="31"/>
  </conditionalFormatting>
  <conditionalFormatting sqref="P24 P39 P28">
    <cfRule type="duplicateValues" dxfId="0" priority="43"/>
    <cfRule type="duplicateValues" dxfId="0" priority="52"/>
  </conditionalFormatting>
  <conditionalFormatting sqref="P24 P39">
    <cfRule type="duplicateValues" dxfId="0" priority="44"/>
    <cfRule type="duplicateValues" dxfId="0" priority="53"/>
  </conditionalFormatting>
  <conditionalFormatting sqref="P24:P28 P39">
    <cfRule type="duplicateValues" dxfId="0" priority="3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E26" sqref="E26"/>
    </sheetView>
  </sheetViews>
  <sheetFormatPr defaultColWidth="10.075" defaultRowHeight="14.25"/>
  <cols>
    <col min="1" max="1" width="9.09166666666667" style="1" customWidth="1"/>
    <col min="2" max="2" width="14.3583333333333" style="1" customWidth="1"/>
    <col min="3" max="3" width="23.3" style="1" customWidth="1"/>
    <col min="4" max="4" width="21.1833333333333" style="1" customWidth="1"/>
    <col min="5" max="16360" width="10.075" style="1"/>
  </cols>
  <sheetData>
    <row r="1" s="1" customFormat="1" ht="17.25" spans="1:5">
      <c r="A1" s="2" t="s">
        <v>215</v>
      </c>
      <c r="B1" s="3"/>
      <c r="C1" s="4"/>
      <c r="D1" s="5"/>
      <c r="E1" s="6"/>
    </row>
    <row r="2" s="1" customFormat="1" ht="17.25" spans="1:5">
      <c r="A2" s="2" t="s">
        <v>216</v>
      </c>
      <c r="B2" s="3"/>
      <c r="C2" s="4"/>
      <c r="D2" s="5"/>
      <c r="E2" s="6"/>
    </row>
    <row r="3" s="1" customFormat="1" ht="17.25" spans="1:5">
      <c r="A3" s="2" t="s">
        <v>217</v>
      </c>
      <c r="B3" s="3"/>
      <c r="C3" s="4"/>
      <c r="D3" s="5"/>
      <c r="E3" s="6"/>
    </row>
    <row r="4" s="1" customFormat="1" ht="17" customHeight="1" spans="1:8">
      <c r="A4" s="7" t="s">
        <v>0</v>
      </c>
      <c r="B4" s="7" t="s">
        <v>2</v>
      </c>
      <c r="C4" s="7" t="s">
        <v>146</v>
      </c>
      <c r="D4" s="7" t="s">
        <v>8</v>
      </c>
      <c r="E4" s="7" t="s">
        <v>6</v>
      </c>
      <c r="F4" s="8" t="s">
        <v>148</v>
      </c>
      <c r="G4" s="8"/>
      <c r="H4" s="8"/>
    </row>
    <row r="5" s="1" customFormat="1" ht="17" customHeight="1" spans="1:9">
      <c r="A5" s="9"/>
      <c r="B5" s="9"/>
      <c r="C5" s="10"/>
      <c r="D5" s="7"/>
      <c r="E5" s="7"/>
      <c r="F5" s="7" t="s">
        <v>149</v>
      </c>
      <c r="G5" s="7" t="s">
        <v>150</v>
      </c>
      <c r="H5" s="7" t="s">
        <v>151</v>
      </c>
      <c r="I5" s="1" t="s">
        <v>218</v>
      </c>
    </row>
    <row r="6" s="1" customFormat="1" ht="29" customHeight="1" spans="1:8">
      <c r="A6" s="11">
        <v>1</v>
      </c>
      <c r="B6" s="7" t="s">
        <v>186</v>
      </c>
      <c r="C6" s="11" t="s">
        <v>187</v>
      </c>
      <c r="D6" s="11" t="s">
        <v>188</v>
      </c>
      <c r="E6" s="11" t="s">
        <v>13</v>
      </c>
      <c r="F6" s="12" t="s">
        <v>219</v>
      </c>
      <c r="G6" s="12" t="s">
        <v>219</v>
      </c>
      <c r="H6" s="12"/>
    </row>
    <row r="7" s="1" customFormat="1" ht="29" customHeight="1" spans="1:8">
      <c r="A7" s="11">
        <v>2</v>
      </c>
      <c r="B7" s="7" t="s">
        <v>34</v>
      </c>
      <c r="C7" s="11" t="s">
        <v>36</v>
      </c>
      <c r="D7" s="11" t="s">
        <v>37</v>
      </c>
      <c r="E7" s="11" t="s">
        <v>21</v>
      </c>
      <c r="F7" s="12" t="s">
        <v>219</v>
      </c>
      <c r="G7" s="12" t="s">
        <v>219</v>
      </c>
      <c r="H7" s="12" t="s">
        <v>219</v>
      </c>
    </row>
    <row r="8" s="1" customFormat="1" ht="29" customHeight="1" spans="1:8">
      <c r="A8" s="11">
        <v>3</v>
      </c>
      <c r="B8" s="7" t="s">
        <v>170</v>
      </c>
      <c r="C8" s="11" t="s">
        <v>171</v>
      </c>
      <c r="D8" s="11" t="s">
        <v>172</v>
      </c>
      <c r="E8" s="11" t="s">
        <v>13</v>
      </c>
      <c r="F8" s="12"/>
      <c r="G8" s="12"/>
      <c r="H8" s="12"/>
    </row>
    <row r="9" s="1" customFormat="1" ht="29" customHeight="1" spans="1:8">
      <c r="A9" s="11">
        <v>4</v>
      </c>
      <c r="B9" s="7" t="s">
        <v>19</v>
      </c>
      <c r="C9" s="11" t="s">
        <v>22</v>
      </c>
      <c r="D9" s="11" t="s">
        <v>23</v>
      </c>
      <c r="E9" s="23" t="s">
        <v>21</v>
      </c>
      <c r="F9" s="12" t="s">
        <v>219</v>
      </c>
      <c r="G9" s="12" t="s">
        <v>219</v>
      </c>
      <c r="H9" s="12" t="s">
        <v>219</v>
      </c>
    </row>
    <row r="10" s="1" customFormat="1" ht="29" customHeight="1" spans="1:8">
      <c r="A10" s="11">
        <v>5</v>
      </c>
      <c r="B10" s="7" t="s">
        <v>197</v>
      </c>
      <c r="C10" s="11" t="s">
        <v>97</v>
      </c>
      <c r="D10" s="11" t="s">
        <v>198</v>
      </c>
      <c r="E10" s="23" t="s">
        <v>21</v>
      </c>
      <c r="F10" s="12" t="s">
        <v>219</v>
      </c>
      <c r="G10" s="12" t="s">
        <v>219</v>
      </c>
      <c r="H10" s="12" t="s">
        <v>219</v>
      </c>
    </row>
    <row r="11" s="1" customFormat="1" ht="29" customHeight="1" spans="1:8">
      <c r="A11" s="11">
        <v>6</v>
      </c>
      <c r="B11" s="7" t="s">
        <v>203</v>
      </c>
      <c r="C11" s="11" t="s">
        <v>204</v>
      </c>
      <c r="D11" s="11" t="s">
        <v>205</v>
      </c>
      <c r="E11" s="19" t="s">
        <v>21</v>
      </c>
      <c r="F11" s="12" t="s">
        <v>219</v>
      </c>
      <c r="G11" s="12" t="s">
        <v>219</v>
      </c>
      <c r="H11" s="12" t="s">
        <v>219</v>
      </c>
    </row>
    <row r="12" s="1" customFormat="1" ht="29" customHeight="1" spans="1:8">
      <c r="A12" s="11">
        <v>7</v>
      </c>
      <c r="B12" s="7" t="s">
        <v>194</v>
      </c>
      <c r="C12" s="11" t="s">
        <v>195</v>
      </c>
      <c r="D12" s="11" t="s">
        <v>23</v>
      </c>
      <c r="E12" s="19" t="s">
        <v>21</v>
      </c>
      <c r="F12" s="12" t="s">
        <v>219</v>
      </c>
      <c r="G12" s="12" t="s">
        <v>219</v>
      </c>
      <c r="H12" s="12" t="s">
        <v>219</v>
      </c>
    </row>
    <row r="13" s="1" customFormat="1" ht="29" customHeight="1" spans="1:8">
      <c r="A13" s="11">
        <v>8</v>
      </c>
      <c r="B13" s="7" t="s">
        <v>92</v>
      </c>
      <c r="C13" s="11" t="s">
        <v>94</v>
      </c>
      <c r="D13" s="11" t="s">
        <v>23</v>
      </c>
      <c r="E13" s="19" t="s">
        <v>21</v>
      </c>
      <c r="F13" s="12" t="s">
        <v>219</v>
      </c>
      <c r="G13" s="12" t="s">
        <v>219</v>
      </c>
      <c r="H13" s="12" t="s">
        <v>219</v>
      </c>
    </row>
    <row r="14" s="1" customFormat="1" ht="29" customHeight="1" spans="1:8">
      <c r="A14" s="11">
        <v>1</v>
      </c>
      <c r="B14" s="17" t="s">
        <v>189</v>
      </c>
      <c r="C14" s="15" t="s">
        <v>190</v>
      </c>
      <c r="D14" s="15" t="s">
        <v>191</v>
      </c>
      <c r="E14" s="15" t="s">
        <v>21</v>
      </c>
      <c r="F14" s="16" t="s">
        <v>219</v>
      </c>
      <c r="G14" s="16" t="s">
        <v>219</v>
      </c>
      <c r="H14" s="16" t="s">
        <v>219</v>
      </c>
    </row>
    <row r="15" s="1" customFormat="1" ht="16.5" spans="3:3">
      <c r="C15" s="20"/>
    </row>
    <row r="16" s="1" customFormat="1" ht="16.5" spans="2:3">
      <c r="B16" s="21"/>
      <c r="C16" s="20" t="s">
        <v>211</v>
      </c>
    </row>
    <row r="17" s="1" customFormat="1" ht="16.5" spans="2:3">
      <c r="B17" s="22"/>
      <c r="C17" s="20" t="s">
        <v>212</v>
      </c>
    </row>
  </sheetData>
  <mergeCells count="6">
    <mergeCell ref="F4:H4"/>
    <mergeCell ref="A4:A5"/>
    <mergeCell ref="B4:B5"/>
    <mergeCell ref="C4:C5"/>
    <mergeCell ref="D4:D5"/>
    <mergeCell ref="E4:E5"/>
  </mergeCells>
  <conditionalFormatting sqref="B6">
    <cfRule type="duplicateValues" dxfId="2" priority="48"/>
    <cfRule type="duplicateValues" dxfId="0" priority="47"/>
    <cfRule type="duplicateValues" dxfId="0" priority="46"/>
    <cfRule type="duplicateValues" dxfId="0" priority="45"/>
  </conditionalFormatting>
  <conditionalFormatting sqref="B8">
    <cfRule type="duplicateValues" dxfId="0" priority="9"/>
    <cfRule type="duplicateValues" dxfId="0" priority="10"/>
    <cfRule type="duplicateValues" dxfId="0" priority="11"/>
    <cfRule type="duplicateValues" dxfId="2" priority="12"/>
  </conditionalFormatting>
  <conditionalFormatting sqref="B15">
    <cfRule type="duplicateValues" dxfId="0" priority="39"/>
  </conditionalFormatting>
  <conditionalFormatting sqref="B6:B14">
    <cfRule type="duplicateValues" dxfId="0" priority="13"/>
    <cfRule type="duplicateValues" dxfId="0" priority="32"/>
  </conditionalFormatting>
  <conditionalFormatting sqref="B6:B13">
    <cfRule type="duplicateValues" dxfId="0" priority="4"/>
  </conditionalFormatting>
  <conditionalFormatting sqref="B7:B13">
    <cfRule type="duplicateValues" dxfId="0" priority="1"/>
  </conditionalFormatting>
  <conditionalFormatting sqref="B9:B13">
    <cfRule type="duplicateValues" dxfId="0" priority="7"/>
    <cfRule type="duplicateValues" dxfId="0" priority="8"/>
  </conditionalFormatting>
  <conditionalFormatting sqref="B10:B13">
    <cfRule type="duplicateValues" dxfId="0" priority="33"/>
    <cfRule type="duplicateValues" dxfId="0" priority="34"/>
  </conditionalFormatting>
  <conditionalFormatting sqref="B7 B14">
    <cfRule type="duplicateValues" dxfId="0" priority="40"/>
    <cfRule type="duplicateValues" dxfId="0" priority="41"/>
    <cfRule type="duplicateValues" dxfId="0" priority="4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workbookViewId="0">
      <selection activeCell="O14" sqref="O6:Q14"/>
    </sheetView>
  </sheetViews>
  <sheetFormatPr defaultColWidth="10.075" defaultRowHeight="14.25"/>
  <cols>
    <col min="1" max="2" width="10.075" style="1"/>
    <col min="3" max="3" width="23.3" style="1" customWidth="1"/>
    <col min="4" max="4" width="21.1833333333333" style="1" customWidth="1"/>
    <col min="5" max="16369" width="10.075" style="1"/>
  </cols>
  <sheetData>
    <row r="1" s="1" customFormat="1" ht="17.25" spans="1:5">
      <c r="A1" s="2" t="s">
        <v>220</v>
      </c>
      <c r="B1" s="3"/>
      <c r="C1" s="4"/>
      <c r="D1" s="5"/>
      <c r="E1" s="6"/>
    </row>
    <row r="2" s="1" customFormat="1" ht="17.25" spans="1:5">
      <c r="A2" s="2" t="s">
        <v>221</v>
      </c>
      <c r="B2" s="3"/>
      <c r="C2" s="4"/>
      <c r="D2" s="5"/>
      <c r="E2" s="6"/>
    </row>
    <row r="3" s="1" customFormat="1" ht="17.25" spans="1:5">
      <c r="A3" s="2" t="s">
        <v>217</v>
      </c>
      <c r="B3" s="3"/>
      <c r="C3" s="4"/>
      <c r="D3" s="5"/>
      <c r="E3" s="6"/>
    </row>
    <row r="4" s="1" customFormat="1" ht="17" customHeight="1" spans="1:17">
      <c r="A4" s="7" t="s">
        <v>0</v>
      </c>
      <c r="B4" s="7" t="s">
        <v>2</v>
      </c>
      <c r="C4" s="7" t="s">
        <v>146</v>
      </c>
      <c r="D4" s="7" t="s">
        <v>8</v>
      </c>
      <c r="E4" s="7" t="s">
        <v>6</v>
      </c>
      <c r="F4" s="8" t="s">
        <v>148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="1" customFormat="1" ht="17" customHeight="1" spans="1:17">
      <c r="A5" s="9"/>
      <c r="B5" s="9"/>
      <c r="C5" s="10"/>
      <c r="D5" s="7"/>
      <c r="E5" s="7"/>
      <c r="F5" s="7" t="s">
        <v>149</v>
      </c>
      <c r="G5" s="7" t="s">
        <v>150</v>
      </c>
      <c r="H5" s="7" t="s">
        <v>151</v>
      </c>
      <c r="I5" s="7" t="s">
        <v>152</v>
      </c>
      <c r="J5" s="7" t="s">
        <v>153</v>
      </c>
      <c r="K5" s="7" t="s">
        <v>154</v>
      </c>
      <c r="L5" s="7" t="s">
        <v>155</v>
      </c>
      <c r="M5" s="7" t="s">
        <v>156</v>
      </c>
      <c r="N5" s="7" t="s">
        <v>157</v>
      </c>
      <c r="O5" s="7" t="s">
        <v>158</v>
      </c>
      <c r="P5" s="7" t="s">
        <v>159</v>
      </c>
      <c r="Q5" s="7" t="s">
        <v>160</v>
      </c>
    </row>
    <row r="6" s="1" customFormat="1" ht="29" customHeight="1" spans="1:17">
      <c r="A6" s="11">
        <v>1</v>
      </c>
      <c r="B6" s="7" t="s">
        <v>43</v>
      </c>
      <c r="C6" s="11" t="str" cm="1">
        <f t="array" ref="C6:C12">VLOOKUP(B6:B12,[1]项目人员总表!B5:G38,4,0)</f>
        <v>华东理工大学</v>
      </c>
      <c r="D6" s="11" t="str">
        <f>VLOOKUP(B:B,[1]项目人员总表!B:G,5,0)</f>
        <v>电子商务</v>
      </c>
      <c r="E6" s="11" t="str">
        <f>VLOOKUP(B:B,[1]项目人员总表!B:G,6,0)</f>
        <v>大专</v>
      </c>
      <c r="F6" s="12" t="s">
        <v>219</v>
      </c>
      <c r="G6" s="12" t="s">
        <v>219</v>
      </c>
      <c r="H6" s="12" t="s">
        <v>219</v>
      </c>
      <c r="I6" s="12" t="s">
        <v>219</v>
      </c>
      <c r="J6" s="12" t="s">
        <v>219</v>
      </c>
      <c r="K6" s="12" t="s">
        <v>219</v>
      </c>
      <c r="L6" s="12" t="s">
        <v>219</v>
      </c>
      <c r="M6" s="12" t="s">
        <v>219</v>
      </c>
      <c r="N6" s="12" t="s">
        <v>219</v>
      </c>
      <c r="O6" s="12" t="s">
        <v>219</v>
      </c>
      <c r="P6" s="12" t="s">
        <v>219</v>
      </c>
      <c r="Q6" s="12" t="s">
        <v>219</v>
      </c>
    </row>
    <row r="7" s="1" customFormat="1" ht="29" customHeight="1" spans="1:17">
      <c r="A7" s="11">
        <v>2</v>
      </c>
      <c r="B7" s="7" t="s">
        <v>38</v>
      </c>
      <c r="C7" s="11" t="str">
        <v>华东政法大学</v>
      </c>
      <c r="D7" s="11" t="str">
        <f>VLOOKUP(B:B,[1]项目人员总表!B:G,5,0)</f>
        <v>法学</v>
      </c>
      <c r="E7" s="11" t="str">
        <f>VLOOKUP(B:B,[1]项目人员总表!B:G,6,0)</f>
        <v>本科</v>
      </c>
      <c r="F7" s="12" t="s">
        <v>219</v>
      </c>
      <c r="G7" s="12" t="s">
        <v>219</v>
      </c>
      <c r="H7" s="12" t="s">
        <v>219</v>
      </c>
      <c r="I7" s="12" t="s">
        <v>219</v>
      </c>
      <c r="J7" s="12" t="s">
        <v>219</v>
      </c>
      <c r="K7" s="12" t="s">
        <v>219</v>
      </c>
      <c r="L7" s="12" t="s">
        <v>219</v>
      </c>
      <c r="M7" s="12" t="s">
        <v>219</v>
      </c>
      <c r="N7" s="12" t="s">
        <v>219</v>
      </c>
      <c r="O7" s="12" t="s">
        <v>219</v>
      </c>
      <c r="P7" s="12" t="s">
        <v>219</v>
      </c>
      <c r="Q7" s="12" t="s">
        <v>219</v>
      </c>
    </row>
    <row r="8" s="1" customFormat="1" ht="29" customHeight="1" spans="1:17">
      <c r="A8" s="11">
        <v>3</v>
      </c>
      <c r="B8" s="7" t="s">
        <v>25</v>
      </c>
      <c r="C8" s="11" t="str">
        <v>天津大学</v>
      </c>
      <c r="D8" s="11" t="str">
        <f>VLOOKUP(B:B,[1]项目人员总表!B:G,5,0)</f>
        <v>建筑工程技术</v>
      </c>
      <c r="E8" s="11" t="str">
        <f>VLOOKUP(B:B,[1]项目人员总表!B:G,6,0)</f>
        <v>大专</v>
      </c>
      <c r="F8" s="12" t="s">
        <v>219</v>
      </c>
      <c r="G8" s="12" t="s">
        <v>219</v>
      </c>
      <c r="H8" s="12" t="s">
        <v>219</v>
      </c>
      <c r="I8" s="12" t="s">
        <v>219</v>
      </c>
      <c r="J8" s="12" t="s">
        <v>219</v>
      </c>
      <c r="K8" s="12" t="s">
        <v>219</v>
      </c>
      <c r="L8" s="12" t="s">
        <v>219</v>
      </c>
      <c r="M8" s="12" t="s">
        <v>219</v>
      </c>
      <c r="N8" s="12" t="s">
        <v>219</v>
      </c>
      <c r="O8" s="12" t="s">
        <v>219</v>
      </c>
      <c r="P8" s="12" t="s">
        <v>219</v>
      </c>
      <c r="Q8" s="12" t="s">
        <v>219</v>
      </c>
    </row>
    <row r="9" s="1" customFormat="1" ht="29" customHeight="1" spans="1:17">
      <c r="A9" s="11">
        <v>4</v>
      </c>
      <c r="B9" s="7" t="s">
        <v>66</v>
      </c>
      <c r="C9" s="11" t="str">
        <v>桂林理工大学</v>
      </c>
      <c r="D9" s="11" t="str">
        <f>VLOOKUP(B:B,[1]项目人员总表!B:G,5,0)</f>
        <v>土木工程</v>
      </c>
      <c r="E9" s="11" t="str">
        <f>VLOOKUP(B:B,[1]项目人员总表!B:G,6,0)</f>
        <v>本科</v>
      </c>
      <c r="F9" s="12" t="s">
        <v>219</v>
      </c>
      <c r="G9" s="12" t="s">
        <v>219</v>
      </c>
      <c r="H9" s="12" t="s">
        <v>219</v>
      </c>
      <c r="I9" s="12" t="s">
        <v>219</v>
      </c>
      <c r="J9" s="12" t="s">
        <v>219</v>
      </c>
      <c r="K9" s="12" t="s">
        <v>219</v>
      </c>
      <c r="L9" s="12" t="s">
        <v>219</v>
      </c>
      <c r="M9" s="12" t="s">
        <v>219</v>
      </c>
      <c r="N9" s="12" t="s">
        <v>219</v>
      </c>
      <c r="O9" s="12" t="s">
        <v>219</v>
      </c>
      <c r="P9" s="12" t="s">
        <v>219</v>
      </c>
      <c r="Q9" s="12" t="s">
        <v>219</v>
      </c>
    </row>
    <row r="10" s="1" customFormat="1" ht="29" customHeight="1" spans="1:17">
      <c r="A10" s="11">
        <v>5</v>
      </c>
      <c r="B10" s="7" t="s">
        <v>141</v>
      </c>
      <c r="C10" s="11" t="str">
        <v>百色学院</v>
      </c>
      <c r="D10" s="11" t="str">
        <f>VLOOKUP(B:B,[1]项目人员总表!B:G,5,0)</f>
        <v>工程管理</v>
      </c>
      <c r="E10" s="11" t="str">
        <f>VLOOKUP(B:B,[1]项目人员总表!B:G,6,0)</f>
        <v>本科</v>
      </c>
      <c r="F10" s="12" t="s">
        <v>219</v>
      </c>
      <c r="G10" s="12" t="s">
        <v>219</v>
      </c>
      <c r="H10" s="12" t="s">
        <v>219</v>
      </c>
      <c r="I10" s="12" t="s">
        <v>219</v>
      </c>
      <c r="J10" s="12" t="s">
        <v>219</v>
      </c>
      <c r="K10" s="12" t="s">
        <v>219</v>
      </c>
      <c r="L10" s="12" t="s">
        <v>219</v>
      </c>
      <c r="M10" s="12" t="s">
        <v>219</v>
      </c>
      <c r="N10" s="12" t="s">
        <v>219</v>
      </c>
      <c r="O10" s="12" t="s">
        <v>219</v>
      </c>
      <c r="P10" s="12" t="s">
        <v>219</v>
      </c>
      <c r="Q10" s="12" t="s">
        <v>219</v>
      </c>
    </row>
    <row r="11" s="1" customFormat="1" ht="29" customHeight="1" spans="1:17">
      <c r="A11" s="11">
        <v>6</v>
      </c>
      <c r="B11" s="7" t="s">
        <v>89</v>
      </c>
      <c r="C11" s="11" t="str">
        <v>重庆大学</v>
      </c>
      <c r="D11" s="11" t="str">
        <f>VLOOKUP(B:B,[1]项目人员总表!B:G,5,0)</f>
        <v>土木工程</v>
      </c>
      <c r="E11" s="11" t="str">
        <f>VLOOKUP(B:B,[1]项目人员总表!B:G,6,0)</f>
        <v>本科</v>
      </c>
      <c r="F11" s="12" t="s">
        <v>219</v>
      </c>
      <c r="G11" s="12" t="s">
        <v>219</v>
      </c>
      <c r="H11" s="12" t="s">
        <v>219</v>
      </c>
      <c r="I11" s="12" t="s">
        <v>219</v>
      </c>
      <c r="J11" s="12" t="s">
        <v>219</v>
      </c>
      <c r="K11" s="12" t="s">
        <v>219</v>
      </c>
      <c r="L11" s="12" t="s">
        <v>219</v>
      </c>
      <c r="M11" s="12" t="s">
        <v>219</v>
      </c>
      <c r="N11" s="12" t="s">
        <v>219</v>
      </c>
      <c r="O11" s="12" t="s">
        <v>219</v>
      </c>
      <c r="P11" s="12" t="s">
        <v>219</v>
      </c>
      <c r="Q11" s="12" t="s">
        <v>219</v>
      </c>
    </row>
    <row r="12" s="1" customFormat="1" ht="29" customHeight="1" spans="1:17">
      <c r="A12" s="11">
        <v>7</v>
      </c>
      <c r="B12" s="7" t="s">
        <v>206</v>
      </c>
      <c r="C12" s="11" t="str">
        <v>广西建设职业技术学院</v>
      </c>
      <c r="D12" s="11" t="str">
        <f>VLOOKUP(B:B,[1]项目人员总表!B:G,5,0)</f>
        <v>建筑工程</v>
      </c>
      <c r="E12" s="11" t="str">
        <f>VLOOKUP(B:B,[1]项目人员总表!B:G,6,0)</f>
        <v>大专</v>
      </c>
      <c r="F12" s="12" t="s">
        <v>219</v>
      </c>
      <c r="G12" s="12" t="s">
        <v>219</v>
      </c>
      <c r="H12" s="12" t="s">
        <v>219</v>
      </c>
      <c r="I12" s="12" t="s">
        <v>219</v>
      </c>
      <c r="J12" s="12" t="s">
        <v>219</v>
      </c>
      <c r="K12" s="12" t="s">
        <v>219</v>
      </c>
      <c r="L12" s="12" t="s">
        <v>219</v>
      </c>
      <c r="M12" s="12" t="s">
        <v>219</v>
      </c>
      <c r="N12" s="12" t="s">
        <v>219</v>
      </c>
      <c r="O12" s="12" t="s">
        <v>219</v>
      </c>
      <c r="P12" s="12" t="s">
        <v>219</v>
      </c>
      <c r="Q12" s="12" t="s">
        <v>219</v>
      </c>
    </row>
    <row r="13" s="1" customFormat="1" ht="29" customHeight="1" spans="1:17">
      <c r="A13" s="11">
        <v>8</v>
      </c>
      <c r="B13" s="7" t="s">
        <v>92</v>
      </c>
      <c r="C13" s="11" t="s">
        <v>94</v>
      </c>
      <c r="D13" s="11" t="s">
        <v>23</v>
      </c>
      <c r="E13" s="19" t="s">
        <v>21</v>
      </c>
      <c r="F13" s="12"/>
      <c r="G13" s="12"/>
      <c r="H13" s="18"/>
      <c r="I13" s="12" t="s">
        <v>219</v>
      </c>
      <c r="J13" s="12" t="s">
        <v>219</v>
      </c>
      <c r="K13" s="12" t="s">
        <v>219</v>
      </c>
      <c r="L13" s="12" t="s">
        <v>219</v>
      </c>
      <c r="M13" s="12" t="s">
        <v>219</v>
      </c>
      <c r="N13" s="12" t="s">
        <v>219</v>
      </c>
      <c r="O13" s="12" t="s">
        <v>219</v>
      </c>
      <c r="P13" s="12" t="s">
        <v>219</v>
      </c>
      <c r="Q13" s="12" t="s">
        <v>219</v>
      </c>
    </row>
    <row r="14" s="1" customFormat="1" ht="29" customHeight="1" spans="1:17">
      <c r="A14" s="11">
        <v>9</v>
      </c>
      <c r="B14" s="7" t="s">
        <v>19</v>
      </c>
      <c r="C14" s="11" t="s">
        <v>22</v>
      </c>
      <c r="D14" s="11" t="s">
        <v>23</v>
      </c>
      <c r="E14" s="23" t="s">
        <v>21</v>
      </c>
      <c r="F14" s="12"/>
      <c r="G14" s="12"/>
      <c r="H14" s="18"/>
      <c r="I14" s="12" t="s">
        <v>219</v>
      </c>
      <c r="J14" s="12" t="s">
        <v>219</v>
      </c>
      <c r="K14" s="12" t="s">
        <v>219</v>
      </c>
      <c r="L14" s="12" t="s">
        <v>219</v>
      </c>
      <c r="M14" s="12" t="s">
        <v>219</v>
      </c>
      <c r="N14" s="12" t="s">
        <v>219</v>
      </c>
      <c r="O14" s="12" t="s">
        <v>219</v>
      </c>
      <c r="P14" s="12" t="s">
        <v>219</v>
      </c>
      <c r="Q14" s="12" t="s">
        <v>219</v>
      </c>
    </row>
    <row r="15" s="1" customFormat="1" ht="29" customHeight="1" spans="1:17">
      <c r="A15" s="11">
        <v>1</v>
      </c>
      <c r="B15" s="24" t="s">
        <v>194</v>
      </c>
      <c r="C15" s="24" t="s">
        <v>195</v>
      </c>
      <c r="D15" s="24" t="s">
        <v>23</v>
      </c>
      <c r="E15" s="24" t="s">
        <v>21</v>
      </c>
      <c r="F15" s="16"/>
      <c r="G15" s="16"/>
      <c r="H15" s="16"/>
      <c r="I15" s="16" t="s">
        <v>219</v>
      </c>
      <c r="J15" s="12"/>
      <c r="K15" s="18"/>
      <c r="L15" s="18"/>
      <c r="M15" s="18"/>
      <c r="N15" s="18"/>
      <c r="O15" s="18"/>
      <c r="P15" s="18"/>
      <c r="Q15" s="18"/>
    </row>
    <row r="16" s="1" customFormat="1" ht="29" customHeight="1" spans="1:17">
      <c r="A16" s="11">
        <v>9</v>
      </c>
      <c r="B16" s="17" t="s">
        <v>203</v>
      </c>
      <c r="C16" s="15" t="s">
        <v>204</v>
      </c>
      <c r="D16" s="15" t="s">
        <v>205</v>
      </c>
      <c r="E16" s="25" t="s">
        <v>21</v>
      </c>
      <c r="F16" s="16"/>
      <c r="G16" s="16"/>
      <c r="H16" s="26"/>
      <c r="I16" s="16" t="s">
        <v>219</v>
      </c>
      <c r="J16" s="16" t="s">
        <v>219</v>
      </c>
      <c r="K16" s="16" t="s">
        <v>219</v>
      </c>
      <c r="L16" s="16" t="s">
        <v>219</v>
      </c>
      <c r="M16" s="16" t="s">
        <v>219</v>
      </c>
      <c r="N16" s="16" t="s">
        <v>219</v>
      </c>
      <c r="O16" s="18"/>
      <c r="P16" s="18"/>
      <c r="Q16" s="18"/>
    </row>
    <row r="17" s="1" customFormat="1" ht="29" customHeight="1" spans="1:17">
      <c r="A17" s="11">
        <v>2</v>
      </c>
      <c r="B17" s="7"/>
      <c r="C17" s="11"/>
      <c r="D17" s="11"/>
      <c r="E17" s="11"/>
      <c r="F17" s="12"/>
      <c r="G17" s="12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="1" customFormat="1" ht="29" customHeight="1" spans="1:17">
      <c r="A18" s="11">
        <v>3</v>
      </c>
      <c r="B18" s="11"/>
      <c r="C18" s="11"/>
      <c r="D18" s="11"/>
      <c r="E18" s="11"/>
      <c r="F18" s="12"/>
      <c r="G18" s="12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="1" customFormat="1" ht="29" customHeight="1" spans="1:17">
      <c r="A19" s="11">
        <v>4</v>
      </c>
      <c r="B19" s="27"/>
      <c r="C19" s="11"/>
      <c r="D19" s="11"/>
      <c r="E19" s="11"/>
      <c r="F19" s="12"/>
      <c r="G19" s="12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="1" customFormat="1" ht="29" customHeight="1" spans="1:17">
      <c r="A20" s="11">
        <v>5</v>
      </c>
      <c r="B20" s="11"/>
      <c r="C20" s="11"/>
      <c r="D20" s="11"/>
      <c r="E20" s="11"/>
      <c r="F20" s="12"/>
      <c r="G20" s="12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="1" customFormat="1" ht="29" customHeight="1" spans="1:17">
      <c r="A21" s="11">
        <v>6</v>
      </c>
      <c r="B21" s="11"/>
      <c r="C21" s="11"/>
      <c r="D21" s="11"/>
      <c r="E21" s="11"/>
      <c r="F21" s="12"/>
      <c r="G21" s="12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="1" customFormat="1" ht="29" customHeight="1" spans="1:17">
      <c r="A22" s="11">
        <v>7</v>
      </c>
      <c r="B22" s="11"/>
      <c r="C22" s="19"/>
      <c r="D22" s="19"/>
      <c r="E22" s="11"/>
      <c r="F22" s="12"/>
      <c r="G22" s="12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="1" customFormat="1" ht="16.5" spans="3:3">
      <c r="C23" s="20"/>
    </row>
    <row r="24" s="1" customFormat="1" ht="16.5" spans="2:3">
      <c r="B24" s="21"/>
      <c r="C24" s="20" t="s">
        <v>211</v>
      </c>
    </row>
    <row r="25" s="1" customFormat="1" ht="16.5" spans="2:3">
      <c r="B25" s="22"/>
      <c r="C25" s="20" t="s">
        <v>212</v>
      </c>
    </row>
  </sheetData>
  <mergeCells count="6">
    <mergeCell ref="F4:Q4"/>
    <mergeCell ref="A4:A5"/>
    <mergeCell ref="B4:B5"/>
    <mergeCell ref="C4:C5"/>
    <mergeCell ref="D4:D5"/>
    <mergeCell ref="E4:E5"/>
  </mergeCells>
  <conditionalFormatting sqref="B6">
    <cfRule type="duplicateValues" dxfId="0" priority="23"/>
    <cfRule type="duplicateValues" dxfId="0" priority="24"/>
    <cfRule type="duplicateValues" dxfId="0" priority="25"/>
  </conditionalFormatting>
  <conditionalFormatting sqref="B7">
    <cfRule type="duplicateValues" dxfId="0" priority="22"/>
    <cfRule type="duplicateValues" dxfId="0" priority="21"/>
    <cfRule type="duplicateValues" dxfId="0" priority="20"/>
  </conditionalFormatting>
  <conditionalFormatting sqref="B6:B12">
    <cfRule type="duplicateValues" dxfId="0" priority="17"/>
    <cfRule type="duplicateValues" dxfId="0" priority="13"/>
  </conditionalFormatting>
  <conditionalFormatting sqref="B18:B20">
    <cfRule type="duplicateValues" dxfId="2" priority="31"/>
    <cfRule type="duplicateValues" dxfId="0" priority="30"/>
    <cfRule type="duplicateValues" dxfId="0" priority="27"/>
    <cfRule type="duplicateValues" dxfId="0" priority="28"/>
    <cfRule type="duplicateValues" dxfId="0" priority="29"/>
  </conditionalFormatting>
  <conditionalFormatting sqref="B22:B23">
    <cfRule type="duplicateValues" dxfId="0" priority="26"/>
  </conditionalFormatting>
  <conditionalFormatting sqref="B6:B14 B16">
    <cfRule type="duplicateValues" dxfId="0" priority="1"/>
    <cfRule type="duplicateValues" dxfId="0" priority="2"/>
  </conditionalFormatting>
  <conditionalFormatting sqref="B8 B9 B10 B11">
    <cfRule type="duplicateValues" dxfId="0" priority="19"/>
  </conditionalFormatting>
  <conditionalFormatting sqref="B8 B9 B10 B11 B12">
    <cfRule type="duplicateValues" dxfId="0" priority="18"/>
  </conditionalFormatting>
  <conditionalFormatting sqref="B16:B17 B13">
    <cfRule type="duplicateValues" dxfId="0" priority="11"/>
    <cfRule type="duplicateValues" dxfId="0" priority="12"/>
  </conditionalFormatting>
  <conditionalFormatting sqref="B16:B17 B13:B14"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O16" sqref="O6:Q16"/>
    </sheetView>
  </sheetViews>
  <sheetFormatPr defaultColWidth="10.075" defaultRowHeight="14.25"/>
  <cols>
    <col min="1" max="2" width="10.075" style="1"/>
    <col min="3" max="3" width="23.3" style="1" customWidth="1"/>
    <col min="4" max="4" width="21.1833333333333" style="1" customWidth="1"/>
    <col min="5" max="16368" width="10.075" style="1"/>
  </cols>
  <sheetData>
    <row r="1" s="1" customFormat="1" ht="17.25" spans="1:5">
      <c r="A1" s="2" t="s">
        <v>222</v>
      </c>
      <c r="B1" s="3"/>
      <c r="C1" s="4"/>
      <c r="D1" s="5"/>
      <c r="E1" s="6"/>
    </row>
    <row r="2" s="1" customFormat="1" ht="17.25" spans="1:5">
      <c r="A2" s="2" t="s">
        <v>223</v>
      </c>
      <c r="B2" s="3"/>
      <c r="C2" s="4"/>
      <c r="D2" s="5"/>
      <c r="E2" s="6"/>
    </row>
    <row r="3" s="1" customFormat="1" ht="17.25" spans="1:5">
      <c r="A3" s="2" t="s">
        <v>217</v>
      </c>
      <c r="B3" s="3"/>
      <c r="C3" s="4"/>
      <c r="D3" s="5"/>
      <c r="E3" s="6"/>
    </row>
    <row r="4" s="1" customFormat="1" ht="17" customHeight="1" spans="1:17">
      <c r="A4" s="7" t="s">
        <v>0</v>
      </c>
      <c r="B4" s="7" t="s">
        <v>2</v>
      </c>
      <c r="C4" s="7" t="s">
        <v>146</v>
      </c>
      <c r="D4" s="7" t="s">
        <v>8</v>
      </c>
      <c r="E4" s="7" t="s">
        <v>6</v>
      </c>
      <c r="F4" s="8" t="s">
        <v>148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="1" customFormat="1" ht="17" customHeight="1" spans="1:17">
      <c r="A5" s="9"/>
      <c r="B5" s="9"/>
      <c r="C5" s="10"/>
      <c r="D5" s="7"/>
      <c r="E5" s="7"/>
      <c r="F5" s="7" t="s">
        <v>149</v>
      </c>
      <c r="G5" s="7" t="s">
        <v>150</v>
      </c>
      <c r="H5" s="7" t="s">
        <v>151</v>
      </c>
      <c r="I5" s="7" t="s">
        <v>152</v>
      </c>
      <c r="J5" s="7" t="s">
        <v>153</v>
      </c>
      <c r="K5" s="7" t="s">
        <v>154</v>
      </c>
      <c r="L5" s="7" t="s">
        <v>155</v>
      </c>
      <c r="M5" s="7" t="s">
        <v>156</v>
      </c>
      <c r="N5" s="7" t="s">
        <v>157</v>
      </c>
      <c r="O5" s="7" t="s">
        <v>158</v>
      </c>
      <c r="P5" s="7" t="s">
        <v>159</v>
      </c>
      <c r="Q5" s="7" t="s">
        <v>160</v>
      </c>
    </row>
    <row r="6" s="1" customFormat="1" ht="29" customHeight="1" spans="1:17">
      <c r="A6" s="11">
        <v>1</v>
      </c>
      <c r="B6" s="7" t="s">
        <v>76</v>
      </c>
      <c r="C6" s="11" t="s">
        <v>78</v>
      </c>
      <c r="D6" s="11" t="s">
        <v>79</v>
      </c>
      <c r="E6" s="11" t="s">
        <v>13</v>
      </c>
      <c r="F6" s="12" t="s">
        <v>219</v>
      </c>
      <c r="G6" s="12" t="s">
        <v>219</v>
      </c>
      <c r="H6" s="12" t="s">
        <v>219</v>
      </c>
      <c r="I6" s="12" t="s">
        <v>219</v>
      </c>
      <c r="J6" s="12" t="s">
        <v>219</v>
      </c>
      <c r="K6" s="12" t="s">
        <v>219</v>
      </c>
      <c r="L6" s="12" t="s">
        <v>219</v>
      </c>
      <c r="M6" s="12" t="s">
        <v>219</v>
      </c>
      <c r="N6" s="12" t="s">
        <v>219</v>
      </c>
      <c r="O6" s="12" t="s">
        <v>219</v>
      </c>
      <c r="P6" s="12" t="s">
        <v>219</v>
      </c>
      <c r="Q6" s="12" t="s">
        <v>219</v>
      </c>
    </row>
    <row r="7" s="1" customFormat="1" ht="29" customHeight="1" spans="1:17">
      <c r="A7" s="11">
        <v>2</v>
      </c>
      <c r="B7" s="13" t="s">
        <v>11</v>
      </c>
      <c r="C7" s="11" t="s">
        <v>14</v>
      </c>
      <c r="D7" s="11" t="s">
        <v>15</v>
      </c>
      <c r="E7" s="11" t="s">
        <v>13</v>
      </c>
      <c r="F7" s="12" t="s">
        <v>219</v>
      </c>
      <c r="G7" s="12" t="s">
        <v>219</v>
      </c>
      <c r="H7" s="12" t="s">
        <v>219</v>
      </c>
      <c r="I7" s="12" t="s">
        <v>219</v>
      </c>
      <c r="J7" s="12" t="s">
        <v>219</v>
      </c>
      <c r="K7" s="12" t="s">
        <v>219</v>
      </c>
      <c r="L7" s="12" t="s">
        <v>219</v>
      </c>
      <c r="M7" s="12" t="s">
        <v>219</v>
      </c>
      <c r="N7" s="12" t="s">
        <v>219</v>
      </c>
      <c r="O7" s="12" t="s">
        <v>219</v>
      </c>
      <c r="P7" s="12" t="s">
        <v>219</v>
      </c>
      <c r="Q7" s="12" t="s">
        <v>219</v>
      </c>
    </row>
    <row r="8" s="1" customFormat="1" ht="29" customHeight="1" spans="1:17">
      <c r="A8" s="11">
        <v>3</v>
      </c>
      <c r="B8" s="7" t="s">
        <v>48</v>
      </c>
      <c r="C8" s="11" t="s">
        <v>50</v>
      </c>
      <c r="D8" s="11" t="s">
        <v>51</v>
      </c>
      <c r="E8" s="11" t="s">
        <v>13</v>
      </c>
      <c r="F8" s="12" t="s">
        <v>219</v>
      </c>
      <c r="G8" s="12" t="s">
        <v>219</v>
      </c>
      <c r="H8" s="12" t="s">
        <v>219</v>
      </c>
      <c r="I8" s="12" t="s">
        <v>219</v>
      </c>
      <c r="J8" s="12" t="s">
        <v>219</v>
      </c>
      <c r="K8" s="12" t="s">
        <v>219</v>
      </c>
      <c r="L8" s="12" t="s">
        <v>219</v>
      </c>
      <c r="M8" s="12" t="s">
        <v>219</v>
      </c>
      <c r="N8" s="12" t="s">
        <v>219</v>
      </c>
      <c r="O8" s="12" t="s">
        <v>219</v>
      </c>
      <c r="P8" s="12" t="s">
        <v>219</v>
      </c>
      <c r="Q8" s="12" t="s">
        <v>219</v>
      </c>
    </row>
    <row r="9" s="1" customFormat="1" ht="29" customHeight="1" spans="1:17">
      <c r="A9" s="11">
        <v>4</v>
      </c>
      <c r="B9" s="7" t="s">
        <v>61</v>
      </c>
      <c r="C9" s="11" t="s">
        <v>63</v>
      </c>
      <c r="D9" s="11" t="s">
        <v>64</v>
      </c>
      <c r="E9" s="11" t="s">
        <v>13</v>
      </c>
      <c r="F9" s="12" t="s">
        <v>219</v>
      </c>
      <c r="G9" s="12" t="s">
        <v>219</v>
      </c>
      <c r="H9" s="12" t="s">
        <v>219</v>
      </c>
      <c r="I9" s="12" t="s">
        <v>219</v>
      </c>
      <c r="J9" s="12" t="s">
        <v>219</v>
      </c>
      <c r="K9" s="12" t="s">
        <v>219</v>
      </c>
      <c r="L9" s="12" t="s">
        <v>219</v>
      </c>
      <c r="M9" s="12" t="s">
        <v>219</v>
      </c>
      <c r="N9" s="12" t="s">
        <v>219</v>
      </c>
      <c r="O9" s="12" t="s">
        <v>219</v>
      </c>
      <c r="P9" s="12" t="s">
        <v>219</v>
      </c>
      <c r="Q9" s="12" t="s">
        <v>219</v>
      </c>
    </row>
    <row r="10" s="1" customFormat="1" ht="29" customHeight="1" spans="1:17">
      <c r="A10" s="11">
        <v>7</v>
      </c>
      <c r="B10" s="7" t="s">
        <v>69</v>
      </c>
      <c r="C10" s="11" t="s">
        <v>71</v>
      </c>
      <c r="D10" s="11" t="s">
        <v>72</v>
      </c>
      <c r="E10" s="11" t="s">
        <v>13</v>
      </c>
      <c r="F10" s="12" t="s">
        <v>219</v>
      </c>
      <c r="G10" s="12" t="s">
        <v>219</v>
      </c>
      <c r="H10" s="12" t="s">
        <v>219</v>
      </c>
      <c r="I10" s="12" t="s">
        <v>219</v>
      </c>
      <c r="J10" s="12" t="s">
        <v>219</v>
      </c>
      <c r="K10" s="12" t="s">
        <v>219</v>
      </c>
      <c r="L10" s="12" t="s">
        <v>219</v>
      </c>
      <c r="M10" s="12" t="s">
        <v>219</v>
      </c>
      <c r="N10" s="12" t="s">
        <v>219</v>
      </c>
      <c r="O10" s="12" t="s">
        <v>219</v>
      </c>
      <c r="P10" s="12" t="s">
        <v>219</v>
      </c>
      <c r="Q10" s="12" t="s">
        <v>219</v>
      </c>
    </row>
    <row r="11" s="1" customFormat="1" ht="29" customHeight="1" spans="1:17">
      <c r="A11" s="11">
        <v>9</v>
      </c>
      <c r="B11" s="7" t="s">
        <v>34</v>
      </c>
      <c r="C11" s="11" t="s">
        <v>36</v>
      </c>
      <c r="D11" s="11" t="s">
        <v>37</v>
      </c>
      <c r="E11" s="11" t="s">
        <v>21</v>
      </c>
      <c r="F11" s="12"/>
      <c r="G11" s="12"/>
      <c r="H11" s="12"/>
      <c r="I11" s="12" t="s">
        <v>219</v>
      </c>
      <c r="J11" s="12" t="s">
        <v>219</v>
      </c>
      <c r="K11" s="12" t="s">
        <v>219</v>
      </c>
      <c r="L11" s="12" t="s">
        <v>219</v>
      </c>
      <c r="M11" s="12" t="s">
        <v>219</v>
      </c>
      <c r="N11" s="12" t="s">
        <v>219</v>
      </c>
      <c r="O11" s="12" t="s">
        <v>219</v>
      </c>
      <c r="P11" s="12" t="s">
        <v>219</v>
      </c>
      <c r="Q11" s="12" t="s">
        <v>219</v>
      </c>
    </row>
    <row r="12" s="1" customFormat="1" ht="29" customHeight="1" spans="1:17">
      <c r="A12" s="11">
        <v>10</v>
      </c>
      <c r="B12" s="7" t="s">
        <v>118</v>
      </c>
      <c r="C12" s="7" t="s">
        <v>120</v>
      </c>
      <c r="D12" s="7" t="s">
        <v>28</v>
      </c>
      <c r="E12" s="7" t="s">
        <v>13</v>
      </c>
      <c r="F12" s="12"/>
      <c r="G12" s="12"/>
      <c r="H12" s="12"/>
      <c r="I12" s="12"/>
      <c r="J12" s="12"/>
      <c r="K12" s="12" t="s">
        <v>219</v>
      </c>
      <c r="L12" s="12" t="s">
        <v>219</v>
      </c>
      <c r="M12" s="12" t="s">
        <v>219</v>
      </c>
      <c r="N12" s="12" t="s">
        <v>219</v>
      </c>
      <c r="O12" s="12" t="s">
        <v>219</v>
      </c>
      <c r="P12" s="12" t="s">
        <v>219</v>
      </c>
      <c r="Q12" s="12" t="s">
        <v>219</v>
      </c>
    </row>
    <row r="13" s="1" customFormat="1" ht="29" customHeight="1" spans="1:17">
      <c r="A13" s="11">
        <v>11</v>
      </c>
      <c r="B13" s="7" t="s">
        <v>121</v>
      </c>
      <c r="C13" s="7" t="s">
        <v>122</v>
      </c>
      <c r="D13" s="7" t="s">
        <v>123</v>
      </c>
      <c r="E13" s="7" t="s">
        <v>13</v>
      </c>
      <c r="F13" s="12"/>
      <c r="G13" s="12"/>
      <c r="H13" s="12"/>
      <c r="I13" s="12"/>
      <c r="J13" s="12"/>
      <c r="K13" s="12" t="s">
        <v>219</v>
      </c>
      <c r="L13" s="12" t="s">
        <v>219</v>
      </c>
      <c r="M13" s="12" t="s">
        <v>219</v>
      </c>
      <c r="N13" s="12" t="s">
        <v>219</v>
      </c>
      <c r="O13" s="12" t="s">
        <v>219</v>
      </c>
      <c r="P13" s="12" t="s">
        <v>219</v>
      </c>
      <c r="Q13" s="12" t="s">
        <v>219</v>
      </c>
    </row>
    <row r="14" s="1" customFormat="1" ht="29" customHeight="1" spans="1:17">
      <c r="A14" s="11">
        <v>12</v>
      </c>
      <c r="B14" s="13" t="s">
        <v>124</v>
      </c>
      <c r="C14" s="13" t="s">
        <v>126</v>
      </c>
      <c r="D14" s="13" t="s">
        <v>127</v>
      </c>
      <c r="E14" s="13" t="s">
        <v>13</v>
      </c>
      <c r="F14" s="12"/>
      <c r="G14" s="12"/>
      <c r="H14" s="12"/>
      <c r="I14" s="12"/>
      <c r="J14" s="12"/>
      <c r="K14" s="12"/>
      <c r="L14" s="12" t="s">
        <v>219</v>
      </c>
      <c r="M14" s="12" t="s">
        <v>219</v>
      </c>
      <c r="N14" s="12" t="s">
        <v>219</v>
      </c>
      <c r="O14" s="12" t="s">
        <v>219</v>
      </c>
      <c r="P14" s="12" t="s">
        <v>219</v>
      </c>
      <c r="Q14" s="12" t="s">
        <v>219</v>
      </c>
    </row>
    <row r="15" s="1" customFormat="1" ht="29" customHeight="1" spans="1:17">
      <c r="A15" s="11">
        <v>13</v>
      </c>
      <c r="B15" s="13" t="s">
        <v>128</v>
      </c>
      <c r="C15" s="13" t="s">
        <v>130</v>
      </c>
      <c r="D15" s="13" t="s">
        <v>23</v>
      </c>
      <c r="E15" s="13" t="s">
        <v>21</v>
      </c>
      <c r="F15" s="12"/>
      <c r="G15" s="12"/>
      <c r="H15" s="12"/>
      <c r="I15" s="12"/>
      <c r="J15" s="12"/>
      <c r="K15" s="12"/>
      <c r="L15" s="12" t="s">
        <v>219</v>
      </c>
      <c r="M15" s="12" t="s">
        <v>219</v>
      </c>
      <c r="N15" s="12" t="s">
        <v>219</v>
      </c>
      <c r="O15" s="12" t="s">
        <v>219</v>
      </c>
      <c r="P15" s="12" t="s">
        <v>219</v>
      </c>
      <c r="Q15" s="12" t="s">
        <v>219</v>
      </c>
    </row>
    <row r="16" s="1" customFormat="1" ht="29" customHeight="1" spans="1:17">
      <c r="A16" s="11">
        <v>15</v>
      </c>
      <c r="B16" s="13" t="s">
        <v>131</v>
      </c>
      <c r="C16" s="13" t="s">
        <v>68</v>
      </c>
      <c r="D16" s="13" t="s">
        <v>133</v>
      </c>
      <c r="E16" s="13" t="s">
        <v>21</v>
      </c>
      <c r="F16" s="12"/>
      <c r="G16" s="12"/>
      <c r="H16" s="12"/>
      <c r="I16" s="12"/>
      <c r="J16" s="12"/>
      <c r="K16" s="12"/>
      <c r="L16" s="12"/>
      <c r="M16" s="12" t="s">
        <v>219</v>
      </c>
      <c r="N16" s="12" t="s">
        <v>219</v>
      </c>
      <c r="O16" s="12" t="s">
        <v>219</v>
      </c>
      <c r="P16" s="12" t="s">
        <v>219</v>
      </c>
      <c r="Q16" s="12" t="s">
        <v>219</v>
      </c>
    </row>
    <row r="17" s="1" customFormat="1" ht="29" customHeight="1" spans="1:17">
      <c r="A17" s="11">
        <v>1</v>
      </c>
      <c r="B17" s="14" t="s">
        <v>180</v>
      </c>
      <c r="C17" s="15" t="str">
        <f>VLOOKUP(B:B,[1]项目人员总表!B:G,4,0)</f>
        <v>江苏联合职业技术学院</v>
      </c>
      <c r="D17" s="15" t="str">
        <f>VLOOKUP(B:B,[1]项目人员总表!B:G,5,0)</f>
        <v>机电一体化技术</v>
      </c>
      <c r="E17" s="15" t="str">
        <f>VLOOKUP(B:B,[1]项目人员总表!B:GF,6,0)</f>
        <v>大专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="1" customFormat="1" ht="29" customHeight="1" spans="1:17">
      <c r="A18" s="11">
        <v>2</v>
      </c>
      <c r="B18" s="14" t="s">
        <v>184</v>
      </c>
      <c r="C18" s="15" t="str">
        <f>VLOOKUP(B:B,[1]项目人员总表!B:G,4,0)</f>
        <v>广西开放大学</v>
      </c>
      <c r="D18" s="15" t="str">
        <f>VLOOKUP(B:B,[1]项目人员总表!B:G,5,0)</f>
        <v>工程管理</v>
      </c>
      <c r="E18" s="15" t="str">
        <f>VLOOKUP(B:B,[1]项目人员总表!B:GF,6,0)</f>
        <v>本科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="1" customFormat="1" ht="29" customHeight="1" spans="1:17">
      <c r="A19" s="11">
        <v>3</v>
      </c>
      <c r="B19" s="14" t="s">
        <v>192</v>
      </c>
      <c r="C19" s="15" t="str">
        <f>VLOOKUP(B:B,[1]项目人员总表!B:G,4,0)</f>
        <v>江苏城市职业学院</v>
      </c>
      <c r="D19" s="15" t="str">
        <f>VLOOKUP(B:B,[1]项目人员总表!B:G,5,0)</f>
        <v>机电一体化技术</v>
      </c>
      <c r="E19" s="15" t="str">
        <f>VLOOKUP(B:B,[1]项目人员总表!B:GF,6,0)</f>
        <v>大专</v>
      </c>
      <c r="F19" s="16" t="s">
        <v>219</v>
      </c>
      <c r="G19" s="16" t="s">
        <v>219</v>
      </c>
      <c r="H19" s="16" t="s">
        <v>219</v>
      </c>
      <c r="I19" s="16" t="s">
        <v>219</v>
      </c>
      <c r="J19" s="12"/>
      <c r="K19" s="12"/>
      <c r="L19" s="12"/>
      <c r="M19" s="12"/>
      <c r="N19" s="12"/>
      <c r="O19" s="12"/>
      <c r="P19" s="12"/>
      <c r="Q19" s="12"/>
    </row>
    <row r="20" s="1" customFormat="1" ht="29" customHeight="1" spans="1:17">
      <c r="A20" s="11">
        <v>4</v>
      </c>
      <c r="B20" s="15" t="s">
        <v>196</v>
      </c>
      <c r="C20" s="15" t="s">
        <v>193</v>
      </c>
      <c r="D20" s="15" t="s">
        <v>178</v>
      </c>
      <c r="E20" s="15" t="s">
        <v>13</v>
      </c>
      <c r="F20" s="15"/>
      <c r="G20" s="15"/>
      <c r="H20" s="15"/>
      <c r="I20" s="15"/>
      <c r="J20" s="16" t="s">
        <v>219</v>
      </c>
      <c r="K20" s="18"/>
      <c r="L20" s="18"/>
      <c r="M20" s="18"/>
      <c r="N20" s="18"/>
      <c r="O20" s="18"/>
      <c r="P20" s="18"/>
      <c r="Q20" s="18"/>
    </row>
    <row r="21" s="1" customFormat="1" ht="29" customHeight="1" spans="1:17">
      <c r="A21" s="11">
        <v>5</v>
      </c>
      <c r="B21" s="15" t="s">
        <v>197</v>
      </c>
      <c r="C21" s="15" t="s">
        <v>97</v>
      </c>
      <c r="D21" s="15" t="s">
        <v>198</v>
      </c>
      <c r="E21" s="15" t="s">
        <v>21</v>
      </c>
      <c r="F21" s="15"/>
      <c r="G21" s="15"/>
      <c r="H21" s="15"/>
      <c r="I21" s="15" t="s">
        <v>219</v>
      </c>
      <c r="J21" s="15" t="s">
        <v>219</v>
      </c>
      <c r="K21" s="15" t="s">
        <v>219</v>
      </c>
      <c r="L21" s="15" t="s">
        <v>219</v>
      </c>
      <c r="M21" s="12"/>
      <c r="N21" s="18"/>
      <c r="O21" s="18"/>
      <c r="P21" s="18"/>
      <c r="Q21" s="18"/>
    </row>
    <row r="22" s="1" customFormat="1" ht="29" customHeight="1" spans="1:17">
      <c r="A22" s="11">
        <v>6</v>
      </c>
      <c r="B22" s="14" t="s">
        <v>199</v>
      </c>
      <c r="C22" s="15" t="s">
        <v>200</v>
      </c>
      <c r="D22" s="15" t="s">
        <v>178</v>
      </c>
      <c r="E22" s="15" t="s">
        <v>13</v>
      </c>
      <c r="F22" s="16" t="s">
        <v>219</v>
      </c>
      <c r="G22" s="16" t="s">
        <v>219</v>
      </c>
      <c r="H22" s="16" t="s">
        <v>219</v>
      </c>
      <c r="I22" s="16" t="s">
        <v>219</v>
      </c>
      <c r="J22" s="16" t="s">
        <v>219</v>
      </c>
      <c r="K22" s="16" t="s">
        <v>219</v>
      </c>
      <c r="L22" s="16" t="s">
        <v>219</v>
      </c>
      <c r="M22" s="16" t="s">
        <v>219</v>
      </c>
      <c r="N22" s="16" t="s">
        <v>219</v>
      </c>
      <c r="O22" s="12"/>
      <c r="P22" s="12"/>
      <c r="Q22" s="12"/>
    </row>
    <row r="23" s="1" customFormat="1" ht="29" customHeight="1" spans="1:17">
      <c r="A23" s="11">
        <v>7</v>
      </c>
      <c r="B23" s="14" t="s">
        <v>201</v>
      </c>
      <c r="C23" s="15" t="s">
        <v>202</v>
      </c>
      <c r="D23" s="15" t="s">
        <v>178</v>
      </c>
      <c r="E23" s="15" t="s">
        <v>13</v>
      </c>
      <c r="F23" s="16" t="s">
        <v>219</v>
      </c>
      <c r="G23" s="16" t="s">
        <v>219</v>
      </c>
      <c r="H23" s="16" t="s">
        <v>219</v>
      </c>
      <c r="I23" s="16" t="s">
        <v>219</v>
      </c>
      <c r="J23" s="16" t="s">
        <v>219</v>
      </c>
      <c r="K23" s="16" t="s">
        <v>219</v>
      </c>
      <c r="L23" s="16" t="s">
        <v>219</v>
      </c>
      <c r="M23" s="16" t="s">
        <v>219</v>
      </c>
      <c r="N23" s="16" t="s">
        <v>219</v>
      </c>
      <c r="O23" s="12"/>
      <c r="P23" s="12"/>
      <c r="Q23" s="12"/>
    </row>
    <row r="24" s="1" customFormat="1" ht="29" customHeight="1" spans="1:17">
      <c r="A24" s="11">
        <v>8</v>
      </c>
      <c r="B24" s="17" t="s">
        <v>103</v>
      </c>
      <c r="C24" s="15" t="s">
        <v>71</v>
      </c>
      <c r="D24" s="15" t="s">
        <v>105</v>
      </c>
      <c r="E24" s="15" t="s">
        <v>13</v>
      </c>
      <c r="F24" s="16" t="s">
        <v>219</v>
      </c>
      <c r="G24" s="16" t="s">
        <v>219</v>
      </c>
      <c r="H24" s="16" t="s">
        <v>219</v>
      </c>
      <c r="I24" s="16" t="s">
        <v>219</v>
      </c>
      <c r="J24" s="16" t="s">
        <v>219</v>
      </c>
      <c r="K24" s="16" t="s">
        <v>219</v>
      </c>
      <c r="L24" s="16" t="s">
        <v>219</v>
      </c>
      <c r="M24" s="16" t="s">
        <v>219</v>
      </c>
      <c r="N24" s="16" t="s">
        <v>219</v>
      </c>
      <c r="O24" s="12"/>
      <c r="P24" s="12"/>
      <c r="Q24" s="12"/>
    </row>
    <row r="25" s="1" customFormat="1" ht="29" customHeight="1" spans="1:17">
      <c r="A25" s="11">
        <v>9</v>
      </c>
      <c r="B25" s="14" t="s">
        <v>209</v>
      </c>
      <c r="C25" s="14" t="s">
        <v>210</v>
      </c>
      <c r="D25" s="14" t="s">
        <v>178</v>
      </c>
      <c r="E25" s="14" t="s">
        <v>13</v>
      </c>
      <c r="F25" s="16"/>
      <c r="G25" s="16"/>
      <c r="H25" s="16"/>
      <c r="I25" s="16"/>
      <c r="J25" s="16"/>
      <c r="K25" s="16"/>
      <c r="L25" s="16" t="s">
        <v>219</v>
      </c>
      <c r="M25" s="16" t="s">
        <v>219</v>
      </c>
      <c r="N25" s="16" t="s">
        <v>219</v>
      </c>
      <c r="O25" s="12"/>
      <c r="P25" s="12"/>
      <c r="Q25" s="12"/>
    </row>
    <row r="26" s="1" customFormat="1" ht="29" customHeight="1" spans="1:17">
      <c r="A26" s="11">
        <v>10</v>
      </c>
      <c r="B26" s="7"/>
      <c r="C26" s="11"/>
      <c r="D26" s="11"/>
      <c r="E26" s="11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="1" customFormat="1" ht="29" customHeight="1" spans="1:17">
      <c r="A27" s="11">
        <v>11</v>
      </c>
      <c r="B27" s="7"/>
      <c r="C27" s="11"/>
      <c r="D27" s="11"/>
      <c r="E27" s="11"/>
      <c r="F27" s="12"/>
      <c r="G27" s="12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="1" customFormat="1" ht="29" customHeight="1" spans="1:17">
      <c r="A28" s="11">
        <v>12</v>
      </c>
      <c r="B28" s="7"/>
      <c r="C28" s="11"/>
      <c r="D28" s="11"/>
      <c r="E28" s="11"/>
      <c r="F28" s="12"/>
      <c r="G28" s="12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="1" customFormat="1" ht="29" customHeight="1" spans="1:17">
      <c r="A29" s="11">
        <v>13</v>
      </c>
      <c r="B29" s="7"/>
      <c r="C29" s="19"/>
      <c r="D29" s="19"/>
      <c r="E29" s="11"/>
      <c r="F29" s="12"/>
      <c r="G29" s="12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="1" customFormat="1" ht="16.5" spans="3:3">
      <c r="C30" s="20"/>
    </row>
    <row r="31" s="1" customFormat="1" ht="16.5" spans="2:3">
      <c r="B31" s="21"/>
      <c r="C31" s="20" t="s">
        <v>211</v>
      </c>
    </row>
    <row r="32" s="1" customFormat="1" ht="16.5" spans="2:3">
      <c r="B32" s="22"/>
      <c r="C32" s="20" t="s">
        <v>212</v>
      </c>
    </row>
  </sheetData>
  <mergeCells count="6">
    <mergeCell ref="F4:Q4"/>
    <mergeCell ref="A4:A5"/>
    <mergeCell ref="B4:B5"/>
    <mergeCell ref="C4:C5"/>
    <mergeCell ref="D4:D5"/>
    <mergeCell ref="E4:E5"/>
  </mergeCells>
  <conditionalFormatting sqref="B18">
    <cfRule type="duplicateValues" dxfId="0" priority="77"/>
    <cfRule type="duplicateValues" dxfId="0" priority="78"/>
    <cfRule type="duplicateValues" dxfId="0" priority="79"/>
  </conditionalFormatting>
  <conditionalFormatting sqref="B30">
    <cfRule type="duplicateValues" dxfId="0" priority="89"/>
  </conditionalFormatting>
  <conditionalFormatting sqref="B17:B19">
    <cfRule type="duplicateValues" dxfId="0" priority="53"/>
    <cfRule type="duplicateValues" dxfId="0" priority="67"/>
    <cfRule type="duplicateValues" dxfId="0" priority="80"/>
  </conditionalFormatting>
  <conditionalFormatting sqref="B27:B29"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</conditionalFormatting>
  <conditionalFormatting sqref="B12:D13">
    <cfRule type="duplicateValues" dxfId="0" priority="1"/>
    <cfRule type="duplicateValues" dxfId="0" priority="2"/>
  </conditionalFormatting>
  <conditionalFormatting sqref="B19 B17">
    <cfRule type="duplicateValues" dxfId="0" priority="86"/>
    <cfRule type="duplicateValues" dxfId="0" priority="87"/>
    <cfRule type="duplicateValues" dxfId="0" priority="8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人员表</vt:lpstr>
      <vt:lpstr>项目人员总表</vt:lpstr>
      <vt:lpstr>RD02建筑工地扬尘防治系统的研发（已结束）</vt:lpstr>
      <vt:lpstr>RD04建筑施工全流程管控平台的开发</vt:lpstr>
      <vt:lpstr>RD07电力施工管理平台的开发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人事部</dc:creator>
  <cp:lastModifiedBy>周末</cp:lastModifiedBy>
  <dcterms:created xsi:type="dcterms:W3CDTF">2024-09-05T07:52:00Z</dcterms:created>
  <dcterms:modified xsi:type="dcterms:W3CDTF">2025-12-26T09:11:12Z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3F1DB1D824FB477297C4754689FD04FA_13</vt:lpwstr>
  </property>
  <property fmtid="{D5CDD505-2E9C-101B-9397-08002B2CF9AE}" pid="3" name="KSOProductBuildVer">
    <vt:lpwstr>2052-12.1.0.22215</vt:lpwstr>
  </property>
</Properties>
</file>