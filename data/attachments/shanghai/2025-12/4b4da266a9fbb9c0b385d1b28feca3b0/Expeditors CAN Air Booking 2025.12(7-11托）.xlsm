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fileSharing readOnlyRecommended="1"/>
  <workbookPr codeName="ThisWorkbook"/>
  <bookViews>
    <workbookView windowWidth="27945" windowHeight="11715"/>
  </bookViews>
  <sheets>
    <sheet name="AIR" sheetId="1" r:id="rId1"/>
    <sheet name="FOB local charges" sheetId="3" r:id="rId2"/>
  </sheets>
  <definedNames>
    <definedName name="_xlnm.Print_Area" localSheetId="0">AIR!$A$1:$AK$76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<sst xmlns="http://schemas.openxmlformats.org/spreadsheetml/2006/main" count="147" uniqueCount="134">
  <si>
    <t>Shipper Letter of Instruction</t>
  </si>
  <si>
    <t>Exporter 托运人及地址</t>
  </si>
  <si>
    <t xml:space="preserve">BEIJING KANG JIE KONG INTERNATIONAL CARGO AGENT CO.,LTD GUANGZHOU BRANCH   </t>
  </si>
  <si>
    <t>Vulcan Shield Global Pte. Ltd.</t>
  </si>
  <si>
    <t xml:space="preserve">  (A SUBSIDIARY OF EXPEDITORS INT'L OF WASH INC.) 北京康捷空国际货运代理有限公司广州分公司</t>
  </si>
  <si>
    <t>Add:28 Carpenter Street, #03-01,Singapore 059827</t>
  </si>
  <si>
    <t xml:space="preserve"> Room 1509-1512, Central Tower, 5 Xiancun Road, Zhujiang New Town, Tianhe District,</t>
  </si>
  <si>
    <t>Guangzhou, 510623, P.R. China.</t>
  </si>
  <si>
    <t>Tel:8620-87324730(USA) 8620-38928177(NON-USA)</t>
  </si>
  <si>
    <t>FAX:8620-87325350</t>
  </si>
  <si>
    <r>
      <rPr>
        <sz val="8"/>
        <rFont val="Arial"/>
        <charset val="134"/>
      </rPr>
      <t>Contact (</t>
    </r>
    <r>
      <rPr>
        <sz val="8"/>
        <rFont val="宋体"/>
        <charset val="134"/>
      </rPr>
      <t>联系人</t>
    </r>
    <r>
      <rPr>
        <sz val="8"/>
        <rFont val="Arial"/>
        <charset val="134"/>
      </rPr>
      <t>):     </t>
    </r>
  </si>
  <si>
    <t> Fong Sheng Kai</t>
  </si>
  <si>
    <t>Tel No (电话):</t>
  </si>
  <si>
    <t>(65)65138802</t>
  </si>
  <si>
    <t>Business Registration No. (社会信用代码/组织机构代码):</t>
  </si>
  <si>
    <t>GST 202216425K</t>
  </si>
  <si>
    <t xml:space="preserve">
</t>
  </si>
  <si>
    <t>Consignee 收货人地址</t>
  </si>
  <si>
    <r>
      <rPr>
        <b/>
        <sz val="8"/>
        <rFont val="Arial"/>
        <charset val="134"/>
      </rPr>
      <t>Service Mode</t>
    </r>
    <r>
      <rPr>
        <b/>
        <sz val="16"/>
        <rFont val="Arial"/>
        <charset val="134"/>
      </rPr>
      <t xml:space="preserve">
BY AIR </t>
    </r>
  </si>
  <si>
    <t>HAWB Number</t>
  </si>
  <si>
    <r>
      <rPr>
        <sz val="11"/>
        <color rgb="FF000000"/>
        <rFont val="Calibri"/>
        <charset val="134"/>
      </rPr>
      <t>Space Exploration Technologies Corp.
Address</t>
    </r>
    <r>
      <rPr>
        <sz val="11"/>
        <color rgb="FF000000"/>
        <rFont val="宋体"/>
        <charset val="134"/>
      </rPr>
      <t>：</t>
    </r>
    <r>
      <rPr>
        <sz val="11"/>
        <color rgb="FF000000"/>
        <rFont val="Calibri"/>
        <charset val="134"/>
      </rPr>
      <t>Space Exploration Technologies (DC)           52199 Joanna St Brownsville,  TX 78521-8931
UNITED STATES                                      Attn</t>
    </r>
    <r>
      <rPr>
        <sz val="11"/>
        <color rgb="FF000000"/>
        <rFont val="宋体"/>
        <charset val="134"/>
      </rPr>
      <t>：</t>
    </r>
    <r>
      <rPr>
        <sz val="11"/>
        <color rgb="FF000000"/>
        <rFont val="Calibri"/>
        <charset val="134"/>
      </rPr>
      <t>Carlos Torrejon, Email:carlos.torrejon@spacex.com</t>
    </r>
  </si>
  <si>
    <t>提单号码</t>
  </si>
  <si>
    <t xml:space="preserve"> Charge \ Freight Payer(use 'X')</t>
  </si>
  <si>
    <t>Prepaid 
预付</t>
  </si>
  <si>
    <t>Collect 
到付</t>
  </si>
  <si>
    <t>3rd Pty 
第三方</t>
  </si>
  <si>
    <t>Cargo Arrangement (货物安排) :</t>
  </si>
  <si>
    <t>Airfreight Charges 
空运费用</t>
  </si>
  <si>
    <t>√</t>
  </si>
  <si>
    <t xml:space="preserve">Self-delivery (自送) : </t>
  </si>
  <si>
    <t>Date &amp; Time (日期 &amp; 时间):</t>
  </si>
  <si>
    <t>Local Charges 本地费用</t>
  </si>
  <si>
    <t>Contact (司机联系人)</t>
  </si>
  <si>
    <t>3rd party payer detail /  第三方付款资料</t>
  </si>
  <si>
    <t>Tel:(电话)</t>
  </si>
  <si>
    <r>
      <rPr>
        <sz val="8"/>
        <rFont val="Arial"/>
        <charset val="134"/>
      </rPr>
      <t>Contact (</t>
    </r>
    <r>
      <rPr>
        <sz val="8"/>
        <rFont val="宋体"/>
        <charset val="134"/>
      </rPr>
      <t>联系人</t>
    </r>
    <r>
      <rPr>
        <sz val="8"/>
        <rFont val="Arial"/>
        <charset val="134"/>
      </rPr>
      <t>):     Carlos Torrejon </t>
    </r>
  </si>
  <si>
    <t>Incoterms 贸易条款</t>
  </si>
  <si>
    <t>FCA</t>
  </si>
  <si>
    <t>广西工厂</t>
  </si>
  <si>
    <t>Truck# (车牌)</t>
  </si>
  <si>
    <t>Notify Party 通知方 / Delivery Address 派送地址</t>
  </si>
  <si>
    <t>Export Declaration (出口报关安排) :</t>
  </si>
  <si>
    <t>By Exporter</t>
  </si>
  <si>
    <t>Expeditors Decl Service</t>
  </si>
  <si>
    <t>(由托运人)</t>
  </si>
  <si>
    <t>(Expeditors 报关服务)</t>
  </si>
  <si>
    <r>
      <rPr>
        <sz val="9"/>
        <rFont val="Arial"/>
        <charset val="134"/>
      </rPr>
      <t xml:space="preserve">Others, please specify </t>
    </r>
    <r>
      <rPr>
        <sz val="8"/>
        <rFont val="Arial"/>
        <charset val="134"/>
      </rPr>
      <t>(其他,请注明)</t>
    </r>
  </si>
  <si>
    <r>
      <rPr>
        <b/>
        <sz val="9"/>
        <rFont val="Arial"/>
        <charset val="134"/>
      </rPr>
      <t>Country of Origin (</t>
    </r>
    <r>
      <rPr>
        <b/>
        <sz val="9"/>
        <rFont val="宋体"/>
        <charset val="134"/>
      </rPr>
      <t>原产国</t>
    </r>
    <r>
      <rPr>
        <b/>
        <sz val="9"/>
        <rFont val="Arial"/>
        <charset val="134"/>
      </rPr>
      <t>):</t>
    </r>
    <r>
      <rPr>
        <b/>
        <sz val="9"/>
        <rFont val="宋体"/>
        <charset val="134"/>
      </rPr>
      <t>中国</t>
    </r>
  </si>
  <si>
    <r>
      <rPr>
        <b/>
        <sz val="10"/>
        <rFont val="Arial"/>
        <charset val="134"/>
      </rPr>
      <t>Pick up (</t>
    </r>
    <r>
      <rPr>
        <b/>
        <sz val="10"/>
        <rFont val="宋体"/>
        <charset val="134"/>
      </rPr>
      <t>提货</t>
    </r>
    <r>
      <rPr>
        <b/>
        <sz val="10"/>
        <rFont val="Arial"/>
        <charset val="134"/>
      </rPr>
      <t>) :2025.12.25</t>
    </r>
  </si>
  <si>
    <t xml:space="preserve"> Declared Value for Customs (报关金额):</t>
  </si>
  <si>
    <t>Address and Contact (地址及联系人):</t>
  </si>
  <si>
    <t>Contact (联系人):      </t>
  </si>
  <si>
    <t xml:space="preserve"> Declared Value for Carriage (运输金额) :</t>
  </si>
  <si>
    <t>广西壮族自治区百色市右江区百东新区百贤路BD11-02-02-01地块榕融新材料技术有限公司  滕宏建15296261986</t>
  </si>
  <si>
    <t>Arrival Airport: 到达站</t>
  </si>
  <si>
    <t xml:space="preserve">  Final Destination 最终目的地</t>
  </si>
  <si>
    <t>Place of Receipt 收货地</t>
  </si>
  <si>
    <t>美国</t>
  </si>
  <si>
    <t>广西百色市</t>
  </si>
  <si>
    <t>H.S Code
货物税号</t>
  </si>
  <si>
    <t>Commodity
货物中英文品名</t>
  </si>
  <si>
    <t>Quanity &amp; Pkg Type
件数及包裝种类)*</t>
  </si>
  <si>
    <t>Weight 
(重量)</t>
  </si>
  <si>
    <t xml:space="preserve">Dimensions (尺寸 ) </t>
  </si>
  <si>
    <t>No. of pkg</t>
  </si>
  <si>
    <t>Type</t>
  </si>
  <si>
    <t>SLAC</t>
  </si>
  <si>
    <t>L</t>
  </si>
  <si>
    <t>W</t>
  </si>
  <si>
    <t>H</t>
  </si>
  <si>
    <t>unit</t>
  </si>
  <si>
    <t>pkg</t>
  </si>
  <si>
    <t>Alumina Fiber Needled Blanket   氧化铝纤维针刺毯</t>
  </si>
  <si>
    <t>Plt</t>
  </si>
  <si>
    <t>M</t>
  </si>
  <si>
    <r>
      <rPr>
        <b/>
        <sz val="12"/>
        <rFont val="Arial"/>
        <charset val="134"/>
      </rPr>
      <t xml:space="preserve">Shipper's Load and Count (货主装载总数) :
</t>
    </r>
    <r>
      <rPr>
        <b/>
        <i/>
        <sz val="9"/>
        <color indexed="10"/>
        <rFont val="Arial"/>
        <charset val="134"/>
      </rPr>
      <t>*If packed in pallet(s), please indicate the cartons per pallet （如以卡板包裝请列明每板箱箱数)</t>
    </r>
  </si>
  <si>
    <t>9.3cbm</t>
  </si>
  <si>
    <t>Cargo Detail &amp; Document Attached (货物分类及随货文件)</t>
  </si>
  <si>
    <t xml:space="preserve">Carton Marks  - Warehouse Reference Only
(箱唛 - 供仓库参考) : </t>
  </si>
  <si>
    <t xml:space="preserve">Export License Declaration (出口许可证申报) </t>
  </si>
  <si>
    <t xml:space="preserve">      No 沒有          Yes 有  - E/L#: </t>
  </si>
  <si>
    <t>Others, please specify (其他,请注明)</t>
  </si>
  <si>
    <t>Dangerous Goods Declaration (危险品申报) :</t>
  </si>
  <si>
    <t xml:space="preserve">      No 沒有        Yes 有</t>
  </si>
  <si>
    <t xml:space="preserve">            </t>
  </si>
  <si>
    <t>Lithium Battery Declaration
(锂电池申报) :</t>
  </si>
  <si>
    <t>(If yes, please specify quantity &amp; packing instruction- 如有, 请注明数量 及包裝说明)</t>
  </si>
  <si>
    <r>
      <rPr>
        <sz val="12"/>
        <rFont val="Arial"/>
        <charset val="134"/>
      </rPr>
      <t xml:space="preserve">      No 沒有               Yes 有 </t>
    </r>
    <r>
      <rPr>
        <i/>
        <sz val="10"/>
        <rFont val="Arial"/>
        <charset val="134"/>
      </rPr>
      <t xml:space="preserve"> </t>
    </r>
  </si>
  <si>
    <t>数量:  
Count:</t>
  </si>
  <si>
    <t>PI-965</t>
  </si>
  <si>
    <t xml:space="preserve">     Section 1A           Section 1B           Section II</t>
  </si>
  <si>
    <t>PI-966</t>
  </si>
  <si>
    <t xml:space="preserve">     Section I               Section II           </t>
  </si>
  <si>
    <t>PI-967</t>
  </si>
  <si>
    <t xml:space="preserve">     Section I               Section II               Section II (Button Cell)</t>
  </si>
  <si>
    <t xml:space="preserve">     Section II  (Each package &lt;4 cells or 2 batteries)</t>
  </si>
  <si>
    <t>Signature &amp; Stamp of Shipper  (托运人签名及公司盖章)</t>
  </si>
  <si>
    <t>PI-968</t>
  </si>
  <si>
    <t>PI-969</t>
  </si>
  <si>
    <t>PI-970</t>
  </si>
  <si>
    <t>Overpack Label
(合成包裝标签)</t>
  </si>
  <si>
    <t xml:space="preserve">     No 沒有                Yes 有 </t>
  </si>
  <si>
    <t>Signatory's Name in Block Letters</t>
  </si>
  <si>
    <t>The Sender Hereby:</t>
  </si>
  <si>
    <t>Expressly declares that above particulars furnished are correct, and is aware of and accepts the General Conditions of Carriage for Cargo (Air) and requests the Company to complete the Air Waybill and House Air Waybill and other documents in connection with despatch, carriage and delivery of goods and accepts the particular conditions of the forwarder/ carrier concerned.</t>
  </si>
  <si>
    <t>Date:</t>
  </si>
  <si>
    <t>Unless viewed online, there can be no guarantee that this information is the latest version available</t>
  </si>
  <si>
    <t>Air shipment FOB Guangzhou Local charges in CNY: (based on chargeable weight)</t>
  </si>
  <si>
    <t>valid year 2025</t>
  </si>
  <si>
    <t>TC &amp; CFS  Airport 机场监管仓装卸及仓储处理费</t>
  </si>
  <si>
    <t>CNY 1.6/kg, min CNY 160</t>
  </si>
  <si>
    <t>Handling 操作费</t>
  </si>
  <si>
    <t>CNY 320.00/shipment</t>
  </si>
  <si>
    <t>Export Customs Declaration 报关费</t>
  </si>
  <si>
    <t>CNY 400.00/Entry</t>
  </si>
  <si>
    <r>
      <rPr>
        <b/>
        <sz val="10"/>
        <color indexed="62"/>
        <rFont val="宋体"/>
        <charset val="134"/>
      </rPr>
      <t xml:space="preserve">(Shipper is responsible to provide full set documents for customs </t>
    </r>
    <r>
      <rPr>
        <b/>
        <sz val="10"/>
        <color indexed="62"/>
        <rFont val="宋体"/>
        <charset val="134"/>
      </rPr>
      <t>declaration)</t>
    </r>
  </si>
  <si>
    <t>Document fee 文件费</t>
  </si>
  <si>
    <r>
      <rPr>
        <sz val="10"/>
        <rFont val="宋体"/>
        <charset val="134"/>
      </rPr>
      <t>CNY</t>
    </r>
    <r>
      <rPr>
        <sz val="10"/>
        <rFont val="宋体"/>
        <charset val="134"/>
      </rPr>
      <t xml:space="preserve"> 55.00/shipment</t>
    </r>
  </si>
  <si>
    <t>AMS fee 预配舱单录入费</t>
  </si>
  <si>
    <t>CNY 50.00/shipment</t>
  </si>
  <si>
    <t>Registration fee 运抵录入费</t>
  </si>
  <si>
    <t>CNY 30.00/shipment</t>
  </si>
  <si>
    <r>
      <rPr>
        <sz val="10"/>
        <rFont val="宋体"/>
        <charset val="134"/>
      </rPr>
      <t xml:space="preserve">打包装带费用 </t>
    </r>
    <r>
      <rPr>
        <b/>
        <sz val="10"/>
        <rFont val="宋体"/>
        <charset val="134"/>
      </rPr>
      <t>(如适用）</t>
    </r>
  </si>
  <si>
    <t>纸箱:CNY 5.00/条; 托盘:CNY 10.00/条;Over300kgs托盘：CNY20.00/条</t>
  </si>
  <si>
    <r>
      <rPr>
        <sz val="10"/>
        <rFont val="宋体"/>
        <charset val="134"/>
      </rPr>
      <t xml:space="preserve">Storage Fee/仓租 </t>
    </r>
    <r>
      <rPr>
        <b/>
        <sz val="10"/>
        <rFont val="宋体"/>
        <charset val="134"/>
      </rPr>
      <t>(如适用）</t>
    </r>
    <r>
      <rPr>
        <sz val="10"/>
        <rFont val="宋体"/>
        <charset val="134"/>
      </rPr>
      <t>（注：　货物进监管仓后24小时内若未能报关放行，监管仓将会从入仓日开始计算收取仓租费用）。</t>
    </r>
  </si>
  <si>
    <r>
      <rPr>
        <sz val="10"/>
        <rFont val="宋体"/>
        <charset val="134"/>
      </rPr>
      <t xml:space="preserve">CNY 0.5/kg /Day, Minimum: CNY 15.00 / Shipment per day </t>
    </r>
    <r>
      <rPr>
        <sz val="10"/>
        <color indexed="62"/>
        <rFont val="宋体"/>
        <charset val="134"/>
      </rPr>
      <t>(Remark: If shipment can't be released from Customs within 24 hours after entry bonded warehouse, storage fee will charge from terminal entry day.)</t>
    </r>
  </si>
  <si>
    <r>
      <rPr>
        <sz val="10"/>
        <rFont val="宋体"/>
        <charset val="134"/>
      </rPr>
      <t xml:space="preserve">Palleting (if the contact area of the piece with the compartment floor per M2 which is over 900kgs) </t>
    </r>
    <r>
      <rPr>
        <b/>
        <sz val="10"/>
        <rFont val="宋体"/>
        <charset val="134"/>
      </rPr>
      <t>(如适用）</t>
    </r>
  </si>
  <si>
    <t>50CNY/piece for adding, CNY150/piece for change the original palleting</t>
  </si>
  <si>
    <r>
      <rPr>
        <sz val="10"/>
        <rFont val="宋体"/>
        <charset val="134"/>
      </rPr>
      <t xml:space="preserve">Fork lift fee (applicable for single piece over 40 kgs) </t>
    </r>
    <r>
      <rPr>
        <b/>
        <sz val="10"/>
        <rFont val="宋体"/>
        <charset val="134"/>
      </rPr>
      <t>(如适用）</t>
    </r>
  </si>
  <si>
    <t>42.00 CNY for the first lift, thereafter CNY 21/Piece will be charged</t>
  </si>
  <si>
    <t xml:space="preserve">根据我司财务要求，本地费用总金额在3000人民币以内需在收到发票后7天内支付，总金额超过3000人民币需要在货物到达目的港前支付。
</t>
  </si>
  <si>
    <t>从2016年5月1日入仓日期开始，根据相关文件的要求，我司不能对通过现金及个人银行卡付款的客户提供零税率发票和增值税专用发票，对这部分业务，我司只能开具9%的增值税普通发票，即在原来报价的基础上加收9%的增值税。对通过公司账户付款的客户，我公司不收取9%的增值税，并开具零税率增值税普通发票给贵公司，请知悉！</t>
  </si>
  <si>
    <t>Document Owner: Leo Wu</t>
  </si>
  <si>
    <t>Last Update: 03/01/25</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</si>
</sst>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409]dd\-mmm\-yyyy;@"/>
  </numFmts>
  <fonts count="72">
    <font>
      <sz val="11"/>
      <color theme="1"/>
      <name val="宋体"/>
      <charset val="134"/>
      <scheme val="minor"/>
    </font>
    <font>
      <b/>
      <sz val="10"/>
      <name val="宋体"/>
      <charset val="134"/>
    </font>
    <font>
      <sz val="10"/>
      <color theme="1"/>
      <name val="宋体"/>
      <charset val="134"/>
      <scheme val="minor"/>
    </font>
    <font>
      <sz val="10"/>
      <name val="宋体"/>
      <charset val="134"/>
    </font>
    <font>
      <b/>
      <sz val="10"/>
      <color indexed="62"/>
      <name val="宋体"/>
      <charset val="134"/>
    </font>
    <font>
      <b/>
      <sz val="12"/>
      <color rgb="FFFF0000"/>
      <name val="宋体"/>
      <charset val="134"/>
    </font>
    <font>
      <b/>
      <sz val="12"/>
      <color rgb="FFFF0000"/>
      <name val="Times New Roman"/>
      <charset val="134"/>
    </font>
    <font>
      <b/>
      <sz val="18"/>
      <name val="Arial"/>
      <charset val="134"/>
    </font>
    <font>
      <b/>
      <sz val="10"/>
      <name val="Arial"/>
      <charset val="134"/>
    </font>
    <font>
      <sz val="7"/>
      <name val="Arial"/>
      <charset val="134"/>
    </font>
    <font>
      <sz val="11"/>
      <color indexed="8"/>
      <name val="Calibri"/>
      <charset val="134"/>
    </font>
    <font>
      <sz val="9"/>
      <name val="Arial"/>
      <charset val="134"/>
    </font>
    <font>
      <b/>
      <sz val="7"/>
      <name val="Arial"/>
      <charset val="134"/>
    </font>
    <font>
      <b/>
      <sz val="9"/>
      <name val="Arial"/>
      <charset val="134"/>
    </font>
    <font>
      <i/>
      <sz val="9"/>
      <name val="Arial"/>
      <charset val="134"/>
    </font>
    <font>
      <u/>
      <sz val="11"/>
      <color theme="10"/>
      <name val="宋体"/>
      <charset val="134"/>
      <scheme val="minor"/>
    </font>
    <font>
      <sz val="8"/>
      <name val="Arial"/>
      <charset val="134"/>
    </font>
    <font>
      <b/>
      <sz val="11"/>
      <name val="Arial"/>
      <charset val="134"/>
    </font>
    <font>
      <b/>
      <sz val="10"/>
      <name val="細明體"/>
      <charset val="136"/>
    </font>
    <font>
      <b/>
      <sz val="16"/>
      <name val="Arial"/>
      <charset val="134"/>
    </font>
    <font>
      <b/>
      <sz val="18"/>
      <color rgb="FFFF0000"/>
      <name val="Arial"/>
      <charset val="134"/>
    </font>
    <font>
      <sz val="11"/>
      <color rgb="FF000000"/>
      <name val="Calibri"/>
      <charset val="134"/>
    </font>
    <font>
      <b/>
      <sz val="11"/>
      <color rgb="FFFF0000"/>
      <name val="Arial"/>
      <charset val="134"/>
    </font>
    <font>
      <sz val="10"/>
      <color theme="1"/>
      <name val="Arial"/>
      <charset val="134"/>
    </font>
    <font>
      <b/>
      <sz val="11"/>
      <color theme="1"/>
      <name val="Arial"/>
      <charset val="134"/>
    </font>
    <font>
      <b/>
      <sz val="9"/>
      <color theme="1"/>
      <name val="Arial"/>
      <charset val="134"/>
    </font>
    <font>
      <b/>
      <sz val="7"/>
      <color theme="1"/>
      <name val="Arial"/>
      <charset val="134"/>
    </font>
    <font>
      <b/>
      <sz val="8"/>
      <name val="Arial"/>
      <charset val="134"/>
    </font>
    <font>
      <b/>
      <sz val="8"/>
      <name val="宋体"/>
      <charset val="134"/>
    </font>
    <font>
      <b/>
      <sz val="12"/>
      <color theme="1"/>
      <name val="宋体"/>
      <charset val="134"/>
      <scheme val="minor"/>
    </font>
    <font>
      <sz val="11"/>
      <name val="Calibri"/>
      <charset val="134"/>
    </font>
    <font>
      <sz val="10"/>
      <name val="Arial"/>
      <charset val="134"/>
    </font>
    <font>
      <b/>
      <sz val="11"/>
      <color theme="1"/>
      <name val="宋体"/>
      <charset val="134"/>
      <scheme val="minor"/>
    </font>
    <font>
      <i/>
      <sz val="9"/>
      <color theme="1"/>
      <name val="宋体"/>
      <charset val="134"/>
      <scheme val="minor"/>
    </font>
    <font>
      <b/>
      <sz val="12"/>
      <color rgb="FFFF0000"/>
      <name val="Arial"/>
      <charset val="134"/>
    </font>
    <font>
      <b/>
      <sz val="8"/>
      <color theme="1"/>
      <name val="宋体"/>
      <charset val="134"/>
      <scheme val="minor"/>
    </font>
    <font>
      <sz val="11"/>
      <color rgb="FFFF0000"/>
      <name val="宋体"/>
      <charset val="134"/>
      <scheme val="minor"/>
    </font>
    <font>
      <b/>
      <sz val="11"/>
      <color rgb="FF0070C0"/>
      <name val="宋体"/>
      <charset val="134"/>
      <scheme val="minor"/>
    </font>
    <font>
      <b/>
      <sz val="12"/>
      <name val="Arial"/>
      <charset val="134"/>
    </font>
    <font>
      <sz val="11"/>
      <name val="Arial"/>
      <charset val="134"/>
    </font>
    <font>
      <sz val="11"/>
      <color rgb="FFFF0000"/>
      <name val="宋体"/>
      <charset val="136"/>
      <scheme val="minor"/>
    </font>
    <font>
      <b/>
      <sz val="10"/>
      <color theme="1"/>
      <name val="宋体"/>
      <charset val="134"/>
      <scheme val="minor"/>
    </font>
    <font>
      <sz val="10"/>
      <color rgb="FFFF0000"/>
      <name val="宋体"/>
      <charset val="136"/>
      <scheme val="minor"/>
    </font>
    <font>
      <sz val="12"/>
      <name val="Arial"/>
      <charset val="134"/>
    </font>
    <font>
      <i/>
      <sz val="8"/>
      <name val="Arial"/>
      <charset val="134"/>
    </font>
    <font>
      <b/>
      <sz val="10"/>
      <color theme="1"/>
      <name val="Arial"/>
      <charset val="134"/>
    </font>
    <font>
      <sz val="6"/>
      <name val="Arial"/>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2"/>
      <name val="宋体"/>
      <charset val="134"/>
    </font>
    <font>
      <sz val="11"/>
      <color rgb="FF000000"/>
      <name val="宋体"/>
      <charset val="134"/>
    </font>
    <font>
      <sz val="8"/>
      <name val="宋体"/>
      <charset val="134"/>
    </font>
    <font>
      <b/>
      <sz val="9"/>
      <name val="宋体"/>
      <charset val="134"/>
    </font>
    <font>
      <b/>
      <i/>
      <sz val="9"/>
      <color indexed="10"/>
      <name val="Arial"/>
      <charset val="134"/>
    </font>
    <font>
      <sz val="10"/>
      <color indexed="62"/>
      <name val="宋体"/>
      <charset val="134"/>
    </font>
    <font>
      <i/>
      <sz val="10"/>
      <name val="Arial"/>
      <charset val="134"/>
    </font>
  </fonts>
  <fills count="35">
    <fill>
      <patternFill patternType="none"/>
    </fill>
    <fill>
      <patternFill patternType="gray125"/>
    </fill>
    <fill>
      <patternFill patternType="solid">
        <fgColor indexed="42"/>
        <bgColor indexed="64"/>
      </patternFill>
    </fill>
    <fill>
      <patternFill patternType="solid">
        <fgColor theme="8" tint="0.799981688894314"/>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5" fillId="0" borderId="0" applyNumberFormat="0" applyFill="0" applyBorder="0" applyAlignment="0" applyProtection="0"/>
    <xf numFmtId="0" fontId="47" fillId="0" borderId="0" applyNumberFormat="0" applyFill="0" applyBorder="0" applyAlignment="0" applyProtection="0">
      <alignment vertical="center"/>
    </xf>
    <xf numFmtId="0" fontId="0" fillId="5" borderId="16" applyNumberFormat="0" applyFon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17" applyNumberFormat="0" applyFill="0" applyAlignment="0" applyProtection="0">
      <alignment vertical="center"/>
    </xf>
    <xf numFmtId="0" fontId="52" fillId="0" borderId="17" applyNumberFormat="0" applyFill="0" applyAlignment="0" applyProtection="0">
      <alignment vertical="center"/>
    </xf>
    <xf numFmtId="0" fontId="53" fillId="0" borderId="18" applyNumberFormat="0" applyFill="0" applyAlignment="0" applyProtection="0">
      <alignment vertical="center"/>
    </xf>
    <xf numFmtId="0" fontId="53" fillId="0" borderId="0" applyNumberFormat="0" applyFill="0" applyBorder="0" applyAlignment="0" applyProtection="0">
      <alignment vertical="center"/>
    </xf>
    <xf numFmtId="0" fontId="54" fillId="6" borderId="19" applyNumberFormat="0" applyAlignment="0" applyProtection="0">
      <alignment vertical="center"/>
    </xf>
    <xf numFmtId="0" fontId="55" fillId="7" borderId="20" applyNumberFormat="0" applyAlignment="0" applyProtection="0">
      <alignment vertical="center"/>
    </xf>
    <xf numFmtId="0" fontId="56" fillId="7" borderId="19" applyNumberFormat="0" applyAlignment="0" applyProtection="0">
      <alignment vertical="center"/>
    </xf>
    <xf numFmtId="0" fontId="57" fillId="8" borderId="21" applyNumberFormat="0" applyAlignment="0" applyProtection="0">
      <alignment vertical="center"/>
    </xf>
    <xf numFmtId="0" fontId="58" fillId="0" borderId="22" applyNumberFormat="0" applyFill="0" applyAlignment="0" applyProtection="0">
      <alignment vertical="center"/>
    </xf>
    <xf numFmtId="0" fontId="59" fillId="0" borderId="23" applyNumberFormat="0" applyFill="0" applyAlignment="0" applyProtection="0">
      <alignment vertical="center"/>
    </xf>
    <xf numFmtId="0" fontId="60" fillId="9" borderId="0" applyNumberFormat="0" applyBorder="0" applyAlignment="0" applyProtection="0">
      <alignment vertical="center"/>
    </xf>
    <xf numFmtId="0" fontId="61" fillId="10" borderId="0" applyNumberFormat="0" applyBorder="0" applyAlignment="0" applyProtection="0">
      <alignment vertical="center"/>
    </xf>
    <xf numFmtId="0" fontId="62" fillId="11" borderId="0" applyNumberFormat="0" applyBorder="0" applyAlignment="0" applyProtection="0">
      <alignment vertical="center"/>
    </xf>
    <xf numFmtId="0" fontId="63" fillId="12" borderId="0" applyNumberFormat="0" applyBorder="0" applyAlignment="0" applyProtection="0">
      <alignment vertical="center"/>
    </xf>
    <xf numFmtId="0" fontId="64" fillId="13" borderId="0" applyNumberFormat="0" applyBorder="0" applyAlignment="0" applyProtection="0">
      <alignment vertical="center"/>
    </xf>
    <xf numFmtId="0" fontId="64" fillId="14" borderId="0" applyNumberFormat="0" applyBorder="0" applyAlignment="0" applyProtection="0">
      <alignment vertical="center"/>
    </xf>
    <xf numFmtId="0" fontId="63" fillId="15" borderId="0" applyNumberFormat="0" applyBorder="0" applyAlignment="0" applyProtection="0">
      <alignment vertical="center"/>
    </xf>
    <xf numFmtId="0" fontId="63" fillId="16" borderId="0" applyNumberFormat="0" applyBorder="0" applyAlignment="0" applyProtection="0">
      <alignment vertical="center"/>
    </xf>
    <xf numFmtId="0" fontId="64" fillId="17" borderId="0" applyNumberFormat="0" applyBorder="0" applyAlignment="0" applyProtection="0">
      <alignment vertical="center"/>
    </xf>
    <xf numFmtId="0" fontId="64" fillId="18" borderId="0" applyNumberFormat="0" applyBorder="0" applyAlignment="0" applyProtection="0">
      <alignment vertical="center"/>
    </xf>
    <xf numFmtId="0" fontId="63" fillId="19" borderId="0" applyNumberFormat="0" applyBorder="0" applyAlignment="0" applyProtection="0">
      <alignment vertical="center"/>
    </xf>
    <xf numFmtId="0" fontId="63" fillId="20" borderId="0" applyNumberFormat="0" applyBorder="0" applyAlignment="0" applyProtection="0">
      <alignment vertical="center"/>
    </xf>
    <xf numFmtId="0" fontId="64" fillId="21" borderId="0" applyNumberFormat="0" applyBorder="0" applyAlignment="0" applyProtection="0">
      <alignment vertical="center"/>
    </xf>
    <xf numFmtId="0" fontId="64" fillId="22" borderId="0" applyNumberFormat="0" applyBorder="0" applyAlignment="0" applyProtection="0">
      <alignment vertical="center"/>
    </xf>
    <xf numFmtId="0" fontId="63" fillId="23" borderId="0" applyNumberFormat="0" applyBorder="0" applyAlignment="0" applyProtection="0">
      <alignment vertical="center"/>
    </xf>
    <xf numFmtId="0" fontId="63" fillId="24" borderId="0" applyNumberFormat="0" applyBorder="0" applyAlignment="0" applyProtection="0">
      <alignment vertical="center"/>
    </xf>
    <xf numFmtId="0" fontId="64" fillId="25" borderId="0" applyNumberFormat="0" applyBorder="0" applyAlignment="0" applyProtection="0">
      <alignment vertical="center"/>
    </xf>
    <xf numFmtId="0" fontId="64" fillId="26" borderId="0" applyNumberFormat="0" applyBorder="0" applyAlignment="0" applyProtection="0">
      <alignment vertical="center"/>
    </xf>
    <xf numFmtId="0" fontId="63" fillId="27" borderId="0" applyNumberFormat="0" applyBorder="0" applyAlignment="0" applyProtection="0">
      <alignment vertical="center"/>
    </xf>
    <xf numFmtId="0" fontId="63" fillId="28" borderId="0" applyNumberFormat="0" applyBorder="0" applyAlignment="0" applyProtection="0">
      <alignment vertical="center"/>
    </xf>
    <xf numFmtId="0" fontId="64" fillId="3" borderId="0" applyNumberFormat="0" applyBorder="0" applyAlignment="0" applyProtection="0">
      <alignment vertical="center"/>
    </xf>
    <xf numFmtId="0" fontId="64" fillId="29" borderId="0" applyNumberFormat="0" applyBorder="0" applyAlignment="0" applyProtection="0">
      <alignment vertical="center"/>
    </xf>
    <xf numFmtId="0" fontId="63" fillId="30" borderId="0" applyNumberFormat="0" applyBorder="0" applyAlignment="0" applyProtection="0">
      <alignment vertical="center"/>
    </xf>
    <xf numFmtId="0" fontId="63" fillId="31" borderId="0" applyNumberFormat="0" applyBorder="0" applyAlignment="0" applyProtection="0">
      <alignment vertical="center"/>
    </xf>
    <xf numFmtId="0" fontId="64" fillId="32" borderId="0" applyNumberFormat="0" applyBorder="0" applyAlignment="0" applyProtection="0">
      <alignment vertical="center"/>
    </xf>
    <xf numFmtId="0" fontId="64" fillId="33" borderId="0" applyNumberFormat="0" applyBorder="0" applyAlignment="0" applyProtection="0">
      <alignment vertical="center"/>
    </xf>
    <xf numFmtId="0" fontId="63" fillId="34" borderId="0" applyNumberFormat="0" applyBorder="0" applyAlignment="0" applyProtection="0">
      <alignment vertical="center"/>
    </xf>
    <xf numFmtId="0" fontId="31" fillId="0" borderId="0"/>
    <xf numFmtId="0" fontId="65" fillId="0" borderId="0">
      <alignment vertical="center"/>
    </xf>
  </cellStyleXfs>
  <cellXfs count="317">
    <xf numFmtId="0" fontId="0" fillId="0" borderId="0" xfId="0"/>
    <xf numFmtId="0" fontId="1" fillId="0" borderId="0" xfId="0" applyFont="1" applyAlignment="1">
      <alignment vertical="top" wrapText="1"/>
    </xf>
    <xf numFmtId="0" fontId="2" fillId="0" borderId="0" xfId="0" applyFont="1"/>
    <xf numFmtId="0" fontId="3" fillId="2" borderId="1" xfId="0" applyFont="1" applyFill="1" applyBorder="1" applyAlignment="1">
      <alignment horizontal="left" vertical="center" wrapText="1"/>
    </xf>
    <xf numFmtId="0" fontId="3" fillId="0" borderId="1" xfId="0" applyFont="1" applyBorder="1" applyAlignment="1">
      <alignment horizontal="left" vertical="center"/>
    </xf>
    <xf numFmtId="0" fontId="3" fillId="2" borderId="1" xfId="0" applyFont="1" applyFill="1" applyBorder="1" applyAlignment="1">
      <alignment vertical="top" wrapText="1"/>
    </xf>
    <xf numFmtId="0" fontId="3" fillId="0" borderId="1" xfId="0" applyFont="1" applyBorder="1"/>
    <xf numFmtId="0" fontId="4" fillId="0" borderId="1" xfId="0" applyFont="1" applyBorder="1"/>
    <xf numFmtId="0" fontId="3" fillId="3" borderId="1" xfId="0" applyFont="1" applyFill="1" applyBorder="1" applyAlignment="1">
      <alignment vertical="top" wrapText="1"/>
    </xf>
    <xf numFmtId="0" fontId="3" fillId="0" borderId="1" xfId="0" applyFont="1" applyBorder="1" applyAlignment="1">
      <alignment vertical="center" wrapText="1"/>
    </xf>
    <xf numFmtId="0" fontId="3" fillId="0" borderId="1" xfId="0" applyFont="1" applyBorder="1" applyAlignment="1">
      <alignment vertical="center"/>
    </xf>
    <xf numFmtId="0" fontId="5" fillId="0" borderId="1" xfId="0" applyFont="1" applyBorder="1" applyAlignment="1">
      <alignment horizontal="left" vertical="center" wrapText="1"/>
    </xf>
    <xf numFmtId="0" fontId="6" fillId="0" borderId="1" xfId="0" applyFont="1" applyBorder="1" applyAlignment="1">
      <alignment horizontal="left" vertical="center" wrapText="1"/>
    </xf>
    <xf numFmtId="0" fontId="0" fillId="0" borderId="0" xfId="0" applyProtection="1">
      <protection locked="0" hidden="1"/>
    </xf>
    <xf numFmtId="0" fontId="7" fillId="0" borderId="0" xfId="0" applyFont="1"/>
    <xf numFmtId="0" fontId="8" fillId="0" borderId="0" xfId="0" applyFont="1"/>
    <xf numFmtId="0" fontId="9" fillId="0" borderId="0" xfId="0" applyFont="1" applyAlignment="1">
      <alignment vertical="center"/>
    </xf>
    <xf numFmtId="0" fontId="9" fillId="0" borderId="0" xfId="0" applyFont="1"/>
    <xf numFmtId="0" fontId="8" fillId="0" borderId="2" xfId="0" applyFont="1" applyBorder="1" applyAlignment="1">
      <alignment horizontal="left" vertical="center"/>
    </xf>
    <xf numFmtId="0" fontId="8" fillId="0" borderId="3" xfId="0" applyFont="1" applyBorder="1" applyAlignment="1">
      <alignment horizontal="left" vertical="center"/>
    </xf>
    <xf numFmtId="0" fontId="8" fillId="0" borderId="4" xfId="0" applyFont="1" applyBorder="1" applyAlignment="1">
      <alignment horizontal="left" vertical="center"/>
    </xf>
    <xf numFmtId="0" fontId="8" fillId="0" borderId="2" xfId="0" applyFont="1" applyBorder="1" applyAlignment="1">
      <alignment vertical="center"/>
    </xf>
    <xf numFmtId="0" fontId="8" fillId="0" borderId="3" xfId="0" applyFont="1" applyBorder="1" applyAlignment="1">
      <alignment vertical="center"/>
    </xf>
    <xf numFmtId="0" fontId="9" fillId="0" borderId="3" xfId="0" applyFont="1" applyBorder="1" applyAlignment="1">
      <alignment vertical="center"/>
    </xf>
    <xf numFmtId="0" fontId="0" fillId="0" borderId="4" xfId="0" applyBorder="1" applyAlignment="1">
      <alignment vertical="center"/>
    </xf>
    <xf numFmtId="0" fontId="10" fillId="0" borderId="5" xfId="0" applyFont="1" applyBorder="1" applyAlignment="1">
      <alignment horizontal="left" vertical="center" wrapText="1"/>
    </xf>
    <xf numFmtId="0" fontId="10" fillId="0" borderId="0" xfId="0" applyFont="1" applyAlignment="1">
      <alignment horizontal="left" vertical="center" wrapText="1"/>
    </xf>
    <xf numFmtId="0" fontId="10" fillId="0" borderId="6" xfId="0" applyFont="1" applyBorder="1" applyAlignment="1">
      <alignment horizontal="left" vertical="center" wrapText="1"/>
    </xf>
    <xf numFmtId="0" fontId="11" fillId="0" borderId="0" xfId="0" applyFont="1" applyAlignment="1">
      <alignment vertical="center"/>
    </xf>
    <xf numFmtId="0" fontId="12" fillId="0" borderId="0" xfId="0" applyFont="1" applyAlignment="1">
      <alignment vertical="center"/>
    </xf>
    <xf numFmtId="0" fontId="13" fillId="0" borderId="0" xfId="0" applyFont="1" applyAlignment="1">
      <alignment horizontal="center" vertical="center"/>
    </xf>
    <xf numFmtId="0" fontId="8" fillId="0" borderId="6" xfId="0" applyFont="1" applyBorder="1" applyAlignment="1">
      <alignment horizontal="center" vertical="center"/>
    </xf>
    <xf numFmtId="0" fontId="14" fillId="0" borderId="0" xfId="0" applyFont="1" applyAlignment="1">
      <alignment vertical="center"/>
    </xf>
    <xf numFmtId="0" fontId="12" fillId="0" borderId="0" xfId="0" applyFont="1" applyAlignment="1">
      <alignment horizontal="center" vertical="center"/>
    </xf>
    <xf numFmtId="0" fontId="12" fillId="0" borderId="6" xfId="0" applyFont="1" applyBorder="1" applyAlignment="1">
      <alignment horizontal="center" vertical="center"/>
    </xf>
    <xf numFmtId="0" fontId="0" fillId="0" borderId="6" xfId="0" applyBorder="1" applyAlignment="1">
      <alignment vertical="center"/>
    </xf>
    <xf numFmtId="0" fontId="15" fillId="0" borderId="0" xfId="6"/>
    <xf numFmtId="0" fontId="16" fillId="0" borderId="5" xfId="0" applyFont="1" applyBorder="1" applyAlignment="1">
      <alignment vertical="center"/>
    </xf>
    <xf numFmtId="0" fontId="16" fillId="0" borderId="0" xfId="0" applyFont="1" applyBorder="1" applyAlignment="1">
      <alignment vertical="center"/>
    </xf>
    <xf numFmtId="0" fontId="16" fillId="0" borderId="0" xfId="0" applyFont="1" applyAlignment="1">
      <alignment horizontal="center" vertical="center"/>
    </xf>
    <xf numFmtId="0" fontId="16" fillId="0" borderId="6" xfId="0" applyFont="1" applyBorder="1" applyAlignment="1">
      <alignment horizontal="center" vertical="center"/>
    </xf>
    <xf numFmtId="0" fontId="17" fillId="0" borderId="5" xfId="0" applyFont="1" applyBorder="1" applyAlignment="1">
      <alignment horizontal="left" vertical="center" wrapText="1"/>
    </xf>
    <xf numFmtId="0" fontId="17" fillId="0" borderId="0" xfId="0" applyFont="1" applyAlignment="1">
      <alignment horizontal="left" vertical="center" wrapText="1"/>
    </xf>
    <xf numFmtId="0" fontId="17" fillId="0" borderId="6" xfId="0" applyFont="1" applyBorder="1" applyAlignment="1">
      <alignment horizontal="left" vertical="center" wrapText="1"/>
    </xf>
    <xf numFmtId="0" fontId="16" fillId="0" borderId="5" xfId="0" applyFont="1" applyBorder="1" applyAlignment="1">
      <alignment horizontal="left" vertical="center"/>
    </xf>
    <xf numFmtId="0" fontId="16" fillId="0" borderId="0" xfId="0" applyFont="1" applyAlignment="1">
      <alignment horizontal="left" vertical="center"/>
    </xf>
    <xf numFmtId="0" fontId="16" fillId="0" borderId="0" xfId="0" applyFont="1" applyAlignment="1" applyProtection="1">
      <alignment horizontal="left" vertical="center"/>
      <protection locked="0"/>
    </xf>
    <xf numFmtId="0" fontId="16" fillId="0" borderId="6" xfId="0" applyFont="1" applyBorder="1" applyAlignment="1" applyProtection="1">
      <alignment horizontal="left" vertical="center"/>
      <protection locked="0"/>
    </xf>
    <xf numFmtId="0" fontId="18" fillId="0" borderId="5" xfId="0" applyFont="1" applyBorder="1" applyAlignment="1">
      <alignment horizontal="left" vertical="top" wrapText="1"/>
    </xf>
    <xf numFmtId="0" fontId="8" fillId="0" borderId="0" xfId="0" applyFont="1" applyAlignment="1">
      <alignment horizontal="left" vertical="top"/>
    </xf>
    <xf numFmtId="0" fontId="8" fillId="0" borderId="6" xfId="0" applyFont="1" applyBorder="1" applyAlignment="1">
      <alignment horizontal="left" vertical="top"/>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8" fillId="0" borderId="7" xfId="0" applyFont="1" applyBorder="1" applyAlignment="1">
      <alignment horizontal="left" vertical="top"/>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5" xfId="0" applyFont="1" applyBorder="1" applyAlignment="1">
      <alignment horizontal="left" vertical="center"/>
    </xf>
    <xf numFmtId="0" fontId="8" fillId="0" borderId="0" xfId="0" applyFont="1" applyAlignment="1">
      <alignment horizontal="left" vertical="center"/>
    </xf>
    <xf numFmtId="0" fontId="8" fillId="0" borderId="6" xfId="0" applyFont="1" applyBorder="1" applyAlignment="1">
      <alignment horizontal="left" vertical="center"/>
    </xf>
    <xf numFmtId="0" fontId="19" fillId="0" borderId="2" xfId="0" applyFont="1" applyBorder="1" applyAlignment="1">
      <alignment horizontal="left" vertical="center" wrapText="1"/>
    </xf>
    <xf numFmtId="0" fontId="19" fillId="0" borderId="3" xfId="0" applyFont="1" applyBorder="1" applyAlignment="1">
      <alignment horizontal="left" vertical="center" wrapText="1"/>
    </xf>
    <xf numFmtId="0" fontId="19" fillId="0" borderId="4" xfId="0" applyFont="1" applyBorder="1" applyAlignment="1">
      <alignment horizontal="left" vertical="center" wrapText="1"/>
    </xf>
    <xf numFmtId="0" fontId="17" fillId="0" borderId="2" xfId="0" applyFont="1" applyBorder="1" applyAlignment="1">
      <alignment vertical="center"/>
    </xf>
    <xf numFmtId="0" fontId="17" fillId="0" borderId="3" xfId="0" applyFont="1" applyBorder="1" applyAlignment="1">
      <alignment vertical="center"/>
    </xf>
    <xf numFmtId="0" fontId="20" fillId="4" borderId="3" xfId="0" applyFont="1" applyFill="1" applyBorder="1" applyAlignment="1" applyProtection="1">
      <alignment horizontal="center" vertical="center"/>
      <protection locked="0"/>
    </xf>
    <xf numFmtId="0" fontId="20" fillId="4" borderId="4" xfId="0" applyFont="1" applyFill="1" applyBorder="1" applyAlignment="1" applyProtection="1">
      <alignment horizontal="center" vertical="center"/>
      <protection locked="0"/>
    </xf>
    <xf numFmtId="0" fontId="21" fillId="0" borderId="5" xfId="0" applyFont="1" applyBorder="1" applyAlignment="1">
      <alignment horizontal="left" vertical="center" wrapText="1"/>
    </xf>
    <xf numFmtId="0" fontId="21" fillId="0" borderId="0" xfId="0" applyFont="1" applyAlignment="1">
      <alignment horizontal="left" vertical="center" wrapText="1"/>
    </xf>
    <xf numFmtId="0" fontId="21" fillId="0" borderId="6" xfId="0" applyFont="1" applyBorder="1" applyAlignment="1">
      <alignment horizontal="left" vertical="center" wrapText="1"/>
    </xf>
    <xf numFmtId="0" fontId="19" fillId="0" borderId="5" xfId="0" applyFont="1" applyBorder="1" applyAlignment="1">
      <alignment horizontal="left" vertical="center" wrapText="1"/>
    </xf>
    <xf numFmtId="0" fontId="19" fillId="0" borderId="0" xfId="0" applyFont="1" applyAlignment="1">
      <alignment horizontal="left" vertical="center" wrapText="1"/>
    </xf>
    <xf numFmtId="0" fontId="19" fillId="0" borderId="6" xfId="0" applyFont="1" applyBorder="1" applyAlignment="1">
      <alignment horizontal="left" vertical="center" wrapText="1"/>
    </xf>
    <xf numFmtId="0" fontId="17" fillId="0" borderId="5" xfId="0" applyFont="1" applyBorder="1" applyAlignment="1">
      <alignment horizontal="left" vertical="top" wrapText="1"/>
    </xf>
    <xf numFmtId="0" fontId="17" fillId="0" borderId="0" xfId="0" applyFont="1" applyAlignment="1">
      <alignment horizontal="left" vertical="top" wrapText="1"/>
    </xf>
    <xf numFmtId="0" fontId="20" fillId="4" borderId="0" xfId="0" applyFont="1" applyFill="1" applyAlignment="1" applyProtection="1">
      <alignment horizontal="center" vertical="center"/>
      <protection locked="0"/>
    </xf>
    <xf numFmtId="0" fontId="20" fillId="4" borderId="6" xfId="0" applyFont="1" applyFill="1" applyBorder="1" applyAlignment="1" applyProtection="1">
      <alignment horizontal="center" vertical="center"/>
      <protection locked="0"/>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7" fillId="0" borderId="7" xfId="0" applyFont="1" applyBorder="1" applyAlignment="1">
      <alignment horizontal="left" vertical="top" wrapText="1"/>
    </xf>
    <xf numFmtId="0" fontId="17" fillId="0" borderId="8" xfId="0" applyFont="1" applyBorder="1" applyAlignment="1">
      <alignment horizontal="left" vertical="top" wrapText="1"/>
    </xf>
    <xf numFmtId="0" fontId="20" fillId="4" borderId="8" xfId="0" applyFont="1" applyFill="1" applyBorder="1" applyAlignment="1" applyProtection="1">
      <alignment horizontal="center" vertical="center"/>
      <protection locked="0"/>
    </xf>
    <xf numFmtId="0" fontId="20" fillId="4" borderId="9" xfId="0" applyFont="1" applyFill="1" applyBorder="1" applyAlignment="1" applyProtection="1">
      <alignment horizontal="center" vertical="center"/>
      <protection locked="0"/>
    </xf>
    <xf numFmtId="0" fontId="13" fillId="0" borderId="2" xfId="0" applyFont="1" applyBorder="1" applyAlignment="1">
      <alignment horizontal="left" vertical="center" wrapText="1"/>
    </xf>
    <xf numFmtId="0" fontId="13" fillId="0" borderId="3" xfId="0" applyFont="1" applyBorder="1" applyAlignment="1">
      <alignment horizontal="left" vertical="center" wrapText="1"/>
    </xf>
    <xf numFmtId="0" fontId="13" fillId="0" borderId="4" xfId="0" applyFont="1" applyBorder="1" applyAlignment="1">
      <alignment horizontal="left" vertical="center" wrapText="1"/>
    </xf>
    <xf numFmtId="0" fontId="13" fillId="0" borderId="10" xfId="0" applyFont="1" applyBorder="1" applyAlignment="1">
      <alignment horizontal="center" vertical="center" wrapText="1"/>
    </xf>
    <xf numFmtId="0" fontId="13" fillId="0" borderId="1" xfId="0" applyFont="1" applyBorder="1" applyAlignment="1">
      <alignment horizontal="left" vertical="top"/>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13" fillId="0" borderId="9" xfId="0" applyFont="1" applyBorder="1" applyAlignment="1">
      <alignment horizontal="left" vertical="center" wrapText="1"/>
    </xf>
    <xf numFmtId="0" fontId="13" fillId="0" borderId="1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10" xfId="0" applyFont="1" applyBorder="1" applyAlignment="1" applyProtection="1">
      <alignment horizontal="center" vertical="center" wrapText="1"/>
      <protection locked="0"/>
    </xf>
    <xf numFmtId="0" fontId="11" fillId="0" borderId="2" xfId="0" applyFont="1" applyBorder="1" applyAlignment="1">
      <alignment horizontal="left"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11" xfId="0" applyFont="1" applyBorder="1" applyAlignment="1" applyProtection="1">
      <alignment horizontal="center" vertical="center" wrapText="1"/>
      <protection locked="0"/>
    </xf>
    <xf numFmtId="0" fontId="11" fillId="0" borderId="5" xfId="0" applyFont="1" applyBorder="1" applyAlignment="1">
      <alignment horizontal="left" vertical="center" wrapText="1"/>
    </xf>
    <xf numFmtId="0" fontId="11" fillId="0" borderId="0" xfId="0" applyFont="1" applyAlignment="1">
      <alignment horizontal="left" vertical="center" wrapText="1"/>
    </xf>
    <xf numFmtId="14" fontId="22" fillId="0" borderId="8" xfId="0" applyNumberFormat="1" applyFont="1" applyBorder="1" applyAlignment="1" applyProtection="1">
      <alignment horizontal="center" vertical="center"/>
      <protection locked="0"/>
    </xf>
    <xf numFmtId="14" fontId="22" fillId="0" borderId="9" xfId="0" applyNumberFormat="1" applyFont="1" applyBorder="1" applyAlignment="1" applyProtection="1">
      <alignment horizontal="center" vertical="center"/>
      <protection locked="0"/>
    </xf>
    <xf numFmtId="0" fontId="0" fillId="0" borderId="5" xfId="0" applyBorder="1"/>
    <xf numFmtId="0" fontId="2" fillId="0" borderId="0" xfId="0" applyFont="1" applyAlignment="1">
      <alignment horizontal="left" vertical="center"/>
    </xf>
    <xf numFmtId="0" fontId="17" fillId="0" borderId="3" xfId="0" applyFont="1" applyBorder="1" applyAlignment="1" applyProtection="1">
      <alignment horizontal="left" vertical="center" wrapText="1"/>
      <protection locked="0"/>
    </xf>
    <xf numFmtId="0" fontId="17" fillId="0" borderId="4" xfId="0" applyFont="1" applyBorder="1" applyAlignment="1" applyProtection="1">
      <alignment horizontal="left" vertical="center" wrapText="1"/>
      <protection locked="0"/>
    </xf>
    <xf numFmtId="0" fontId="17" fillId="0" borderId="8" xfId="0" applyFont="1" applyBorder="1" applyAlignment="1" applyProtection="1">
      <alignment horizontal="left" vertical="center" wrapText="1"/>
      <protection locked="0"/>
    </xf>
    <xf numFmtId="0" fontId="17" fillId="0" borderId="9" xfId="0" applyFont="1" applyBorder="1" applyAlignment="1" applyProtection="1">
      <alignment horizontal="left" vertical="center" wrapText="1"/>
      <protection locked="0"/>
    </xf>
    <xf numFmtId="0" fontId="16" fillId="0" borderId="5"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5" fillId="0" borderId="0" xfId="6" applyFill="1" applyBorder="1" applyAlignment="1">
      <alignment horizontal="left" vertical="center"/>
    </xf>
    <xf numFmtId="0" fontId="23" fillId="0" borderId="0" xfId="0" applyFont="1" applyAlignment="1">
      <alignment horizontal="left" vertical="center"/>
    </xf>
    <xf numFmtId="0" fontId="24" fillId="0" borderId="3" xfId="0" applyFont="1" applyBorder="1" applyAlignment="1" applyProtection="1">
      <alignment horizontal="left" vertical="center"/>
      <protection locked="0"/>
    </xf>
    <xf numFmtId="0" fontId="24" fillId="0" borderId="4"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6" xfId="0" applyBorder="1" applyAlignment="1" applyProtection="1">
      <alignment horizontal="center" vertical="center"/>
      <protection locked="0"/>
    </xf>
    <xf numFmtId="0" fontId="25" fillId="0" borderId="7" xfId="0" applyFont="1" applyBorder="1" applyAlignment="1" applyProtection="1">
      <alignment horizontal="center" wrapText="1"/>
      <protection locked="0"/>
    </xf>
    <xf numFmtId="0" fontId="25" fillId="0" borderId="8" xfId="0" applyFont="1" applyBorder="1" applyAlignment="1" applyProtection="1">
      <alignment horizontal="center" wrapText="1"/>
      <protection locked="0"/>
    </xf>
    <xf numFmtId="0" fontId="25" fillId="0" borderId="9" xfId="0" applyFont="1" applyBorder="1" applyAlignment="1" applyProtection="1">
      <alignment horizontal="center" wrapText="1"/>
      <protection locked="0"/>
    </xf>
    <xf numFmtId="0" fontId="24" fillId="0" borderId="8" xfId="0" applyFont="1" applyBorder="1" applyAlignment="1" applyProtection="1">
      <alignment horizontal="left" vertical="center"/>
      <protection locked="0"/>
    </xf>
    <xf numFmtId="0" fontId="24" fillId="0" borderId="9" xfId="0" applyFont="1" applyBorder="1" applyAlignment="1" applyProtection="1">
      <alignment horizontal="left" vertical="center"/>
      <protection locked="0"/>
    </xf>
    <xf numFmtId="0" fontId="16" fillId="0" borderId="7" xfId="0" applyFont="1" applyBorder="1" applyAlignment="1">
      <alignment horizontal="left" vertical="center"/>
    </xf>
    <xf numFmtId="0" fontId="16" fillId="0" borderId="8" xfId="0" applyFont="1" applyBorder="1" applyAlignment="1">
      <alignment horizontal="left" vertical="center"/>
    </xf>
    <xf numFmtId="0" fontId="26" fillId="0" borderId="12" xfId="0" applyFont="1" applyBorder="1" applyAlignment="1">
      <alignment horizontal="left" wrapText="1"/>
    </xf>
    <xf numFmtId="0" fontId="26" fillId="0" borderId="13" xfId="0" applyFont="1" applyBorder="1" applyAlignment="1">
      <alignment horizontal="left" wrapText="1"/>
    </xf>
    <xf numFmtId="0" fontId="26" fillId="0" borderId="14" xfId="0" applyFont="1" applyBorder="1" applyAlignment="1">
      <alignment horizontal="left" wrapText="1"/>
    </xf>
    <xf numFmtId="0" fontId="27" fillId="0" borderId="12" xfId="0" applyFont="1" applyBorder="1" applyAlignment="1" applyProtection="1">
      <alignment vertical="center"/>
      <protection locked="0"/>
    </xf>
    <xf numFmtId="0" fontId="28" fillId="0" borderId="13"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29" fillId="0" borderId="0" xfId="0" applyFont="1" applyAlignment="1" applyProtection="1">
      <alignment horizontal="left" vertical="center"/>
      <protection locked="0"/>
    </xf>
    <xf numFmtId="0" fontId="29" fillId="0" borderId="6" xfId="0" applyFont="1" applyBorder="1" applyAlignment="1" applyProtection="1">
      <alignment horizontal="left" vertical="center"/>
      <protection locked="0"/>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13" fillId="0" borderId="14" xfId="0" applyFont="1" applyBorder="1" applyAlignment="1">
      <alignment horizontal="left" vertical="center"/>
    </xf>
    <xf numFmtId="0" fontId="29" fillId="0" borderId="8" xfId="0" applyFont="1" applyBorder="1" applyAlignment="1" applyProtection="1">
      <alignment horizontal="left" vertical="center"/>
      <protection locked="0"/>
    </xf>
    <xf numFmtId="0" fontId="29" fillId="0" borderId="9" xfId="0" applyFont="1" applyBorder="1" applyAlignment="1" applyProtection="1">
      <alignment horizontal="left" vertical="center"/>
      <protection locked="0"/>
    </xf>
    <xf numFmtId="0" fontId="30" fillId="0" borderId="5" xfId="0" applyFont="1" applyBorder="1" applyAlignment="1">
      <alignment horizontal="left" vertical="center" wrapText="1"/>
    </xf>
    <xf numFmtId="0" fontId="30" fillId="0" borderId="0" xfId="0" applyFont="1" applyAlignment="1">
      <alignment horizontal="left" vertical="center"/>
    </xf>
    <xf numFmtId="0" fontId="30" fillId="0" borderId="6" xfId="0" applyFont="1" applyBorder="1" applyAlignment="1">
      <alignment horizontal="left" vertical="center"/>
    </xf>
    <xf numFmtId="0" fontId="11" fillId="0" borderId="0" xfId="0" applyFont="1" applyAlignment="1">
      <alignment horizontal="center" vertical="center" wrapText="1"/>
    </xf>
    <xf numFmtId="0" fontId="31" fillId="0" borderId="0" xfId="0" applyFont="1" applyAlignment="1">
      <alignment horizontal="left" vertical="center" wrapText="1"/>
    </xf>
    <xf numFmtId="0" fontId="32" fillId="0" borderId="3" xfId="0" applyFont="1" applyBorder="1" applyAlignment="1" applyProtection="1">
      <alignment horizontal="left" vertical="center"/>
      <protection locked="0"/>
    </xf>
    <xf numFmtId="0" fontId="32" fillId="0" borderId="4" xfId="0" applyFont="1" applyBorder="1" applyAlignment="1" applyProtection="1">
      <alignment horizontal="left" vertical="center"/>
      <protection locked="0"/>
    </xf>
    <xf numFmtId="0" fontId="13" fillId="0" borderId="5" xfId="0" applyFont="1" applyBorder="1" applyAlignment="1">
      <alignment vertical="center"/>
    </xf>
    <xf numFmtId="0" fontId="32" fillId="0" borderId="8" xfId="0" applyFont="1" applyBorder="1" applyAlignment="1" applyProtection="1">
      <alignment horizontal="left" vertical="center"/>
      <protection locked="0"/>
    </xf>
    <xf numFmtId="0" fontId="32" fillId="0" borderId="9" xfId="0" applyFont="1" applyBorder="1" applyAlignment="1" applyProtection="1">
      <alignment horizontal="left" vertical="center"/>
      <protection locked="0"/>
    </xf>
    <xf numFmtId="0" fontId="33" fillId="0" borderId="0" xfId="0" applyFont="1" applyAlignment="1">
      <alignment horizontal="left"/>
    </xf>
    <xf numFmtId="0" fontId="33" fillId="0" borderId="6" xfId="0" applyFont="1" applyBorder="1" applyAlignment="1">
      <alignment horizontal="left"/>
    </xf>
    <xf numFmtId="0" fontId="0" fillId="0" borderId="5"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6" xfId="0" applyBorder="1" applyAlignment="1" applyProtection="1">
      <alignment horizontal="left" vertical="center"/>
      <protection locked="0"/>
    </xf>
    <xf numFmtId="0" fontId="11" fillId="0" borderId="8" xfId="0" applyFont="1" applyBorder="1" applyAlignment="1" applyProtection="1">
      <alignment horizontal="center" vertical="center" wrapText="1"/>
      <protection locked="0"/>
    </xf>
    <xf numFmtId="0" fontId="11" fillId="0" borderId="9" xfId="0" applyFont="1" applyBorder="1" applyAlignment="1" applyProtection="1">
      <alignment horizontal="center" vertical="center" wrapText="1"/>
      <protection locked="0"/>
    </xf>
    <xf numFmtId="0" fontId="13" fillId="0" borderId="6" xfId="0" applyFont="1" applyBorder="1" applyAlignment="1">
      <alignment horizontal="center" vertical="center"/>
    </xf>
    <xf numFmtId="0" fontId="13" fillId="0" borderId="2" xfId="0" applyFont="1" applyBorder="1" applyAlignment="1">
      <alignment horizontal="left" vertical="center"/>
    </xf>
    <xf numFmtId="0" fontId="13" fillId="0" borderId="3" xfId="0" applyFont="1" applyBorder="1" applyAlignment="1">
      <alignment horizontal="left" vertical="center"/>
    </xf>
    <xf numFmtId="0" fontId="13" fillId="0" borderId="4" xfId="0" applyFont="1" applyBorder="1" applyAlignment="1">
      <alignment horizontal="left" vertical="center"/>
    </xf>
    <xf numFmtId="0" fontId="8" fillId="0" borderId="0" xfId="0" applyFont="1" applyAlignment="1">
      <alignment horizontal="left" vertical="center" wrapText="1"/>
    </xf>
    <xf numFmtId="0" fontId="8" fillId="0" borderId="6" xfId="0" applyFont="1" applyBorder="1" applyAlignment="1">
      <alignment horizontal="left" vertical="center" wrapText="1"/>
    </xf>
    <xf numFmtId="0" fontId="11" fillId="0" borderId="0" xfId="0" applyFont="1" applyAlignment="1" applyProtection="1">
      <alignment horizontal="left" vertical="center"/>
      <protection locked="0"/>
    </xf>
    <xf numFmtId="58" fontId="17" fillId="0" borderId="8" xfId="0" applyNumberFormat="1" applyFont="1" applyBorder="1" applyAlignment="1" applyProtection="1">
      <alignment horizontal="center" vertical="center"/>
      <protection locked="0"/>
    </xf>
    <xf numFmtId="0" fontId="17" fillId="0" borderId="8" xfId="0" applyFont="1" applyBorder="1" applyAlignment="1" applyProtection="1">
      <alignment horizontal="center" vertical="center"/>
      <protection locked="0"/>
    </xf>
    <xf numFmtId="0" fontId="17" fillId="0" borderId="9" xfId="0" applyFont="1" applyBorder="1" applyAlignment="1" applyProtection="1">
      <alignment horizontal="center" vertical="center"/>
      <protection locked="0"/>
    </xf>
    <xf numFmtId="0" fontId="16" fillId="0" borderId="5" xfId="0" applyFont="1" applyBorder="1" applyAlignment="1" applyProtection="1">
      <alignment horizontal="left" vertical="center"/>
      <protection locked="0"/>
    </xf>
    <xf numFmtId="0" fontId="11" fillId="0" borderId="7" xfId="0" applyFont="1" applyBorder="1" applyAlignment="1" applyProtection="1">
      <alignment horizontal="left" vertical="center"/>
      <protection locked="0"/>
    </xf>
    <xf numFmtId="0" fontId="11" fillId="0" borderId="8" xfId="0" applyFont="1" applyBorder="1" applyAlignment="1" applyProtection="1">
      <alignment horizontal="left" vertical="center"/>
      <protection locked="0"/>
    </xf>
    <xf numFmtId="0" fontId="31" fillId="0" borderId="0" xfId="0" applyFont="1" applyAlignment="1" applyProtection="1">
      <alignment horizontal="left" vertical="center"/>
      <protection locked="0"/>
    </xf>
    <xf numFmtId="0" fontId="31" fillId="0" borderId="6" xfId="0" applyFont="1" applyBorder="1" applyAlignment="1" applyProtection="1">
      <alignment horizontal="left" vertical="center"/>
      <protection locked="0"/>
    </xf>
    <xf numFmtId="0" fontId="0" fillId="0" borderId="0" xfId="0"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16" fillId="0" borderId="8" xfId="0" applyFont="1" applyBorder="1" applyAlignment="1" applyProtection="1">
      <alignment horizontal="left" vertical="center"/>
      <protection locked="0"/>
    </xf>
    <xf numFmtId="0" fontId="16" fillId="0" borderId="9" xfId="0" applyFont="1" applyBorder="1" applyAlignment="1" applyProtection="1">
      <alignment horizontal="left" vertical="center"/>
      <protection locked="0"/>
    </xf>
    <xf numFmtId="0" fontId="11" fillId="0" borderId="7" xfId="0" applyFont="1" applyBorder="1" applyAlignment="1">
      <alignment horizontal="left" vertical="center"/>
    </xf>
    <xf numFmtId="0" fontId="11" fillId="0" borderId="8" xfId="0" applyFont="1" applyBorder="1" applyAlignment="1">
      <alignment horizontal="left" vertical="center"/>
    </xf>
    <xf numFmtId="0" fontId="0" fillId="0" borderId="3" xfId="0" applyBorder="1" applyAlignment="1">
      <alignment horizontal="left" vertical="center"/>
    </xf>
    <xf numFmtId="0" fontId="11" fillId="0" borderId="5" xfId="0" applyFont="1" applyBorder="1" applyAlignment="1">
      <alignment vertical="center" wrapText="1"/>
    </xf>
    <xf numFmtId="0" fontId="5" fillId="0" borderId="5" xfId="0" applyFont="1" applyBorder="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6" xfId="0" applyFont="1" applyBorder="1" applyAlignment="1" applyProtection="1">
      <alignment horizontal="center" vertical="center"/>
      <protection locked="0"/>
    </xf>
    <xf numFmtId="0" fontId="5" fillId="0" borderId="5" xfId="0" applyFont="1" applyBorder="1" applyAlignment="1">
      <alignment horizontal="center" vertical="center"/>
    </xf>
    <xf numFmtId="0" fontId="34" fillId="0" borderId="0" xfId="0" applyFont="1" applyAlignment="1">
      <alignment horizontal="center" vertical="center"/>
    </xf>
    <xf numFmtId="0" fontId="34" fillId="0" borderId="6" xfId="0" applyFont="1" applyBorder="1" applyAlignment="1">
      <alignment horizontal="center" vertical="center"/>
    </xf>
    <xf numFmtId="0" fontId="0" fillId="0" borderId="0" xfId="0" applyAlignment="1" applyProtection="1">
      <alignment horizontal="left"/>
      <protection locked="0"/>
    </xf>
    <xf numFmtId="0" fontId="0" fillId="0" borderId="6" xfId="0" applyBorder="1" applyAlignment="1" applyProtection="1">
      <alignment horizontal="left"/>
      <protection locked="0"/>
    </xf>
    <xf numFmtId="0" fontId="34" fillId="0" borderId="7" xfId="0" applyFont="1" applyBorder="1" applyAlignment="1" applyProtection="1">
      <alignment horizontal="center" vertical="center"/>
      <protection locked="0"/>
    </xf>
    <xf numFmtId="0" fontId="34" fillId="0" borderId="8" xfId="0" applyFont="1" applyBorder="1" applyAlignment="1" applyProtection="1">
      <alignment horizontal="center" vertical="center"/>
      <protection locked="0"/>
    </xf>
    <xf numFmtId="0" fontId="34" fillId="0" borderId="9" xfId="0" applyFont="1" applyBorder="1" applyAlignment="1" applyProtection="1">
      <alignment horizontal="center" vertical="center"/>
      <protection locked="0"/>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11" fillId="0" borderId="7" xfId="0" applyFont="1" applyBorder="1" applyAlignment="1">
      <alignment vertical="center" wrapText="1"/>
    </xf>
    <xf numFmtId="0" fontId="0" fillId="0" borderId="8" xfId="0" applyBorder="1" applyAlignment="1" applyProtection="1">
      <alignment horizontal="left"/>
      <protection locked="0"/>
    </xf>
    <xf numFmtId="0" fontId="0" fillId="0" borderId="9" xfId="0" applyBorder="1" applyAlignment="1" applyProtection="1">
      <alignment horizontal="left"/>
      <protection locked="0"/>
    </xf>
    <xf numFmtId="0" fontId="8" fillId="0" borderId="1" xfId="0" applyFont="1" applyBorder="1" applyAlignment="1">
      <alignment horizontal="center" vertical="center" wrapText="1"/>
    </xf>
    <xf numFmtId="0" fontId="27" fillId="0" borderId="5" xfId="0" applyFont="1" applyBorder="1" applyAlignment="1">
      <alignment horizontal="center" vertical="center" wrapText="1"/>
    </xf>
    <xf numFmtId="0" fontId="27" fillId="0" borderId="0" xfId="0" applyFont="1" applyAlignment="1">
      <alignment horizontal="center" vertical="center" wrapText="1"/>
    </xf>
    <xf numFmtId="0" fontId="27" fillId="0" borderId="6"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lignment horizontal="center" vertical="center"/>
    </xf>
    <xf numFmtId="0" fontId="13" fillId="0" borderId="5" xfId="0" applyFont="1" applyBorder="1" applyAlignment="1">
      <alignment horizontal="center" vertical="center" wrapText="1"/>
    </xf>
    <xf numFmtId="0" fontId="13" fillId="0" borderId="0" xfId="0" applyFont="1" applyAlignment="1">
      <alignment horizontal="center" vertical="center" wrapText="1"/>
    </xf>
    <xf numFmtId="0" fontId="13" fillId="0" borderId="6" xfId="0" applyFont="1" applyBorder="1" applyAlignment="1">
      <alignment horizontal="center" vertical="center" wrapText="1"/>
    </xf>
    <xf numFmtId="0" fontId="35" fillId="0" borderId="1" xfId="0" applyFont="1"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5" xfId="0" applyBorder="1" applyAlignment="1" applyProtection="1">
      <alignment horizontal="left" vertical="center" wrapText="1"/>
      <protection locked="0"/>
    </xf>
    <xf numFmtId="0" fontId="36" fillId="0" borderId="5" xfId="0" applyFont="1" applyBorder="1" applyAlignment="1" applyProtection="1">
      <alignment horizontal="left" vertical="center" wrapText="1"/>
      <protection locked="0"/>
    </xf>
    <xf numFmtId="0" fontId="36" fillId="0" borderId="0" xfId="0" applyFont="1" applyAlignment="1" applyProtection="1">
      <alignment horizontal="left" vertical="center" wrapText="1"/>
      <protection locked="0"/>
    </xf>
    <xf numFmtId="0" fontId="36" fillId="0" borderId="6" xfId="0" applyFont="1" applyBorder="1" applyAlignment="1" applyProtection="1">
      <alignment horizontal="left" vertical="center" wrapText="1"/>
      <protection locked="0"/>
    </xf>
    <xf numFmtId="0" fontId="36" fillId="0" borderId="5" xfId="0" applyFont="1" applyBorder="1" applyAlignment="1" applyProtection="1">
      <alignment horizontal="center" vertical="center"/>
      <protection locked="0"/>
    </xf>
    <xf numFmtId="0" fontId="36" fillId="0" borderId="0" xfId="0" applyFont="1" applyAlignment="1" applyProtection="1">
      <alignment horizontal="center" vertical="center"/>
      <protection locked="0"/>
    </xf>
    <xf numFmtId="0" fontId="36" fillId="0" borderId="6"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2" fontId="0" fillId="0" borderId="0" xfId="0" applyNumberFormat="1"/>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37" fillId="0" borderId="5" xfId="0" applyFont="1" applyBorder="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37" fillId="0" borderId="7" xfId="0" applyFont="1" applyBorder="1" applyAlignment="1" applyProtection="1">
      <alignment horizontal="left" vertical="center" wrapText="1"/>
      <protection locked="0"/>
    </xf>
    <xf numFmtId="0" fontId="37" fillId="0" borderId="8" xfId="0" applyFont="1" applyBorder="1" applyAlignment="1" applyProtection="1">
      <alignment horizontal="left" vertical="center" wrapText="1"/>
      <protection locked="0"/>
    </xf>
    <xf numFmtId="176" fontId="37" fillId="0" borderId="8" xfId="0" applyNumberFormat="1" applyFont="1" applyBorder="1" applyAlignment="1" applyProtection="1">
      <alignment horizontal="left" vertical="center" wrapText="1"/>
      <protection locked="0"/>
    </xf>
    <xf numFmtId="176" fontId="37" fillId="0" borderId="9" xfId="0" applyNumberFormat="1" applyFont="1" applyBorder="1" applyAlignment="1" applyProtection="1">
      <alignment horizontal="left" vertical="center" wrapText="1"/>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locked="0"/>
    </xf>
    <xf numFmtId="0" fontId="38" fillId="0" borderId="5" xfId="0" applyFont="1" applyBorder="1" applyAlignment="1">
      <alignment horizontal="left" vertical="center" wrapText="1"/>
    </xf>
    <xf numFmtId="0" fontId="38" fillId="0" borderId="0" xfId="0" applyFont="1" applyAlignment="1">
      <alignment horizontal="left" vertical="center" wrapText="1"/>
    </xf>
    <xf numFmtId="0" fontId="38" fillId="0" borderId="6" xfId="0" applyFont="1" applyBorder="1" applyAlignment="1">
      <alignment horizontal="left" vertical="center" wrapText="1"/>
    </xf>
    <xf numFmtId="0" fontId="8" fillId="0" borderId="1" xfId="0" applyFont="1" applyBorder="1" applyAlignment="1" applyProtection="1">
      <alignment horizontal="center" vertical="center" wrapText="1"/>
      <protection hidden="1"/>
    </xf>
    <xf numFmtId="0" fontId="8" fillId="0" borderId="11" xfId="0" applyFont="1" applyBorder="1" applyAlignment="1" applyProtection="1">
      <alignment horizontal="center" vertical="center"/>
      <protection hidden="1"/>
    </xf>
    <xf numFmtId="2" fontId="8" fillId="0" borderId="11" xfId="0" applyNumberFormat="1"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2" fontId="8" fillId="0" borderId="1" xfId="0" applyNumberFormat="1" applyFont="1" applyBorder="1" applyAlignment="1" applyProtection="1">
      <alignment horizontal="center" vertical="center"/>
      <protection hidden="1"/>
    </xf>
    <xf numFmtId="0" fontId="17" fillId="0" borderId="2"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8" fillId="0" borderId="4" xfId="0" applyFont="1" applyBorder="1" applyAlignment="1">
      <alignment horizontal="left" vertical="center" wrapText="1"/>
    </xf>
    <xf numFmtId="0" fontId="17" fillId="0" borderId="7" xfId="0" applyFont="1" applyBorder="1" applyAlignment="1">
      <alignment horizontal="left" vertical="center" wrapText="1"/>
    </xf>
    <xf numFmtId="0" fontId="17" fillId="0" borderId="8" xfId="0" applyFont="1" applyBorder="1" applyAlignment="1">
      <alignment horizontal="left" vertical="center" wrapText="1"/>
    </xf>
    <xf numFmtId="0" fontId="17" fillId="0" borderId="9" xfId="0" applyFont="1" applyBorder="1" applyAlignment="1">
      <alignment horizontal="left" vertical="center" wrapText="1"/>
    </xf>
    <xf numFmtId="0" fontId="8" fillId="0" borderId="7" xfId="0" applyFont="1" applyBorder="1" applyAlignment="1">
      <alignment horizontal="left" vertical="center" wrapText="1"/>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39" fillId="0" borderId="3" xfId="0" applyFont="1" applyBorder="1" applyAlignment="1">
      <alignment horizontal="left" vertical="center"/>
    </xf>
    <xf numFmtId="0" fontId="39" fillId="0" borderId="3" xfId="0" applyFont="1" applyBorder="1" applyAlignment="1" applyProtection="1">
      <alignment horizontal="center" vertical="center"/>
      <protection locked="0"/>
    </xf>
    <xf numFmtId="0" fontId="39" fillId="0" borderId="4" xfId="0" applyFont="1" applyBorder="1" applyAlignment="1" applyProtection="1">
      <alignment horizontal="center" vertical="center"/>
      <protection locked="0"/>
    </xf>
    <xf numFmtId="0" fontId="36"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4" xfId="0" applyFont="1" applyBorder="1" applyAlignment="1" applyProtection="1">
      <alignment horizontal="left" vertical="center"/>
      <protection locked="0"/>
    </xf>
    <xf numFmtId="0" fontId="41" fillId="0" borderId="7" xfId="0" applyFont="1" applyBorder="1" applyAlignment="1">
      <alignment horizontal="left" vertical="center"/>
    </xf>
    <xf numFmtId="0" fontId="41" fillId="0" borderId="8" xfId="0" applyFont="1" applyBorder="1" applyAlignment="1">
      <alignment horizontal="left" vertical="center"/>
    </xf>
    <xf numFmtId="0" fontId="42" fillId="0" borderId="5" xfId="0" applyFont="1" applyBorder="1" applyAlignment="1" applyProtection="1">
      <alignment horizontal="left" vertical="center"/>
      <protection locked="0"/>
    </xf>
    <xf numFmtId="0" fontId="42" fillId="0" borderId="0" xfId="0" applyFont="1" applyAlignment="1" applyProtection="1">
      <alignment horizontal="left" vertical="center"/>
      <protection locked="0"/>
    </xf>
    <xf numFmtId="0" fontId="42" fillId="0" borderId="6" xfId="0" applyFont="1" applyBorder="1" applyAlignment="1" applyProtection="1">
      <alignment horizontal="left" vertical="center"/>
      <protection locked="0"/>
    </xf>
    <xf numFmtId="0" fontId="43" fillId="0" borderId="3" xfId="0" applyFont="1" applyBorder="1" applyAlignment="1">
      <alignment horizontal="left" vertical="center"/>
    </xf>
    <xf numFmtId="0" fontId="43" fillId="0" borderId="4" xfId="0" applyFont="1" applyBorder="1" applyAlignment="1">
      <alignment horizontal="left" vertical="center"/>
    </xf>
    <xf numFmtId="0" fontId="40" fillId="0" borderId="5" xfId="0" applyFont="1" applyBorder="1" applyAlignment="1" applyProtection="1">
      <alignment horizontal="left" vertical="center"/>
      <protection locked="0"/>
    </xf>
    <xf numFmtId="0" fontId="40" fillId="0" borderId="0" xfId="0" applyFont="1" applyAlignment="1" applyProtection="1">
      <alignment horizontal="left" vertical="center"/>
      <protection locked="0"/>
    </xf>
    <xf numFmtId="0" fontId="40" fillId="0" borderId="6" xfId="0" applyFont="1" applyBorder="1" applyAlignment="1" applyProtection="1">
      <alignment horizontal="left" vertical="center"/>
      <protection locked="0"/>
    </xf>
    <xf numFmtId="0" fontId="43" fillId="0" borderId="8" xfId="0" applyFont="1" applyBorder="1" applyAlignment="1">
      <alignment horizontal="left" vertical="center"/>
    </xf>
    <xf numFmtId="0" fontId="43" fillId="0" borderId="9" xfId="0" applyFont="1" applyBorder="1" applyAlignment="1">
      <alignment horizontal="left" vertical="center"/>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44" fillId="0" borderId="12" xfId="0" applyFont="1" applyBorder="1" applyAlignment="1">
      <alignment horizontal="left" vertical="top"/>
    </xf>
    <xf numFmtId="0" fontId="44" fillId="0" borderId="13" xfId="0" applyFont="1" applyBorder="1" applyAlignment="1">
      <alignment horizontal="left" vertical="top"/>
    </xf>
    <xf numFmtId="0" fontId="44" fillId="0" borderId="14" xfId="0" applyFont="1" applyBorder="1" applyAlignment="1">
      <alignment horizontal="left" vertical="top"/>
    </xf>
    <xf numFmtId="0" fontId="8" fillId="0" borderId="5" xfId="0" applyFont="1" applyBorder="1" applyAlignment="1">
      <alignment horizontal="left" vertical="top" wrapText="1"/>
    </xf>
    <xf numFmtId="0" fontId="8" fillId="0" borderId="0" xfId="0" applyFont="1" applyAlignment="1">
      <alignment horizontal="left" vertical="top" wrapText="1"/>
    </xf>
    <xf numFmtId="0" fontId="43" fillId="0" borderId="7" xfId="0" applyFont="1" applyBorder="1" applyAlignment="1">
      <alignment horizontal="left" vertical="center"/>
    </xf>
    <xf numFmtId="0" fontId="16" fillId="0" borderId="12" xfId="0" applyFont="1" applyBorder="1" applyAlignment="1">
      <alignment horizontal="left" vertical="center" wrapText="1"/>
    </xf>
    <xf numFmtId="0" fontId="16" fillId="0" borderId="14" xfId="0" applyFont="1" applyBorder="1" applyAlignment="1">
      <alignment horizontal="left" vertical="center"/>
    </xf>
    <xf numFmtId="0" fontId="43" fillId="0" borderId="8" xfId="0" applyFont="1" applyBorder="1" applyAlignment="1" applyProtection="1">
      <alignment horizontal="center" vertical="center"/>
      <protection locked="0"/>
    </xf>
    <xf numFmtId="0" fontId="43" fillId="0" borderId="9" xfId="0" applyFont="1" applyBorder="1" applyAlignment="1" applyProtection="1">
      <alignment horizontal="center" vertical="center"/>
      <protection locked="0"/>
    </xf>
    <xf numFmtId="0" fontId="38" fillId="0" borderId="1" xfId="0" applyFont="1" applyBorder="1" applyAlignment="1">
      <alignment horizontal="center" vertical="center" wrapText="1"/>
    </xf>
    <xf numFmtId="0" fontId="43" fillId="0" borderId="1" xfId="0" applyFont="1" applyBorder="1" applyAlignment="1">
      <alignment horizontal="left" vertical="center"/>
    </xf>
    <xf numFmtId="0" fontId="43" fillId="0" borderId="10" xfId="0" applyFont="1" applyBorder="1" applyAlignment="1">
      <alignment horizontal="left" vertical="center"/>
    </xf>
    <xf numFmtId="0" fontId="43" fillId="0" borderId="11" xfId="0" applyFont="1" applyBorder="1" applyAlignment="1">
      <alignment horizontal="left" vertical="center"/>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45" fillId="0" borderId="12" xfId="0" applyFont="1" applyBorder="1" applyAlignment="1">
      <alignment horizontal="left" wrapText="1"/>
    </xf>
    <xf numFmtId="0" fontId="45" fillId="0" borderId="13" xfId="0" applyFont="1" applyBorder="1" applyAlignment="1">
      <alignment horizontal="left" wrapText="1"/>
    </xf>
    <xf numFmtId="0" fontId="45" fillId="0" borderId="14" xfId="0" applyFont="1" applyBorder="1" applyAlignment="1">
      <alignment horizontal="left" wrapText="1"/>
    </xf>
    <xf numFmtId="0" fontId="43" fillId="0" borderId="13" xfId="0" applyFont="1" applyBorder="1" applyAlignment="1">
      <alignment horizontal="left" vertical="center"/>
    </xf>
    <xf numFmtId="0" fontId="43" fillId="0" borderId="14" xfId="0" applyFont="1" applyBorder="1" applyAlignment="1">
      <alignment horizontal="left" vertical="center"/>
    </xf>
    <xf numFmtId="0" fontId="27" fillId="0" borderId="7" xfId="0" applyFont="1" applyBorder="1" applyAlignment="1">
      <alignment horizontal="left" vertical="center"/>
    </xf>
    <xf numFmtId="0" fontId="27" fillId="0" borderId="8" xfId="0" applyFont="1" applyBorder="1" applyAlignment="1">
      <alignment horizontal="left" vertical="center"/>
    </xf>
    <xf numFmtId="0" fontId="27" fillId="0" borderId="9" xfId="0" applyFont="1" applyBorder="1" applyAlignment="1">
      <alignment horizontal="left" vertical="center"/>
    </xf>
    <xf numFmtId="0" fontId="8" fillId="0" borderId="2" xfId="0" applyFont="1" applyBorder="1" applyAlignment="1">
      <alignment horizontal="center" vertical="top"/>
    </xf>
    <xf numFmtId="0" fontId="8" fillId="0" borderId="3" xfId="0" applyFont="1" applyBorder="1" applyAlignment="1">
      <alignment horizontal="center" vertical="top"/>
    </xf>
    <xf numFmtId="0" fontId="0" fillId="0" borderId="3" xfId="0" applyBorder="1" applyAlignment="1">
      <alignment horizontal="left" vertical="top" wrapText="1"/>
    </xf>
    <xf numFmtId="0" fontId="0" fillId="0" borderId="4" xfId="0" applyBorder="1" applyAlignment="1">
      <alignment horizontal="left" vertical="top" wrapText="1"/>
    </xf>
    <xf numFmtId="0" fontId="8" fillId="0" borderId="5" xfId="0" applyFont="1" applyBorder="1" applyAlignment="1">
      <alignment horizontal="center" vertical="top"/>
    </xf>
    <xf numFmtId="0" fontId="8" fillId="0" borderId="0" xfId="0" applyFont="1" applyAlignment="1">
      <alignment horizontal="center" vertical="top"/>
    </xf>
    <xf numFmtId="0" fontId="0" fillId="0" borderId="0" xfId="0" applyAlignment="1">
      <alignment horizontal="left" vertical="top" wrapText="1"/>
    </xf>
    <xf numFmtId="0" fontId="0" fillId="0" borderId="6" xfId="0" applyBorder="1" applyAlignment="1">
      <alignment horizontal="left" vertical="top" wrapText="1"/>
    </xf>
    <xf numFmtId="0" fontId="8" fillId="0" borderId="7" xfId="0" applyFont="1" applyBorder="1" applyAlignment="1">
      <alignment horizontal="left" vertical="center"/>
    </xf>
    <xf numFmtId="0" fontId="8" fillId="0" borderId="8" xfId="0" applyFont="1" applyBorder="1" applyAlignment="1">
      <alignment horizontal="left" vertical="center"/>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46" fillId="0" borderId="0" xfId="0" applyFont="1"/>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一般_B6L0132, 40  VF US BY SEA 12.19" xfId="49"/>
    <cellStyle name="常规 2" xfId="50"/>
  </cellStyles>
  <dxfs count="1">
    <dxf>
      <fill>
        <patternFill patternType="solid">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tyles" Target="styles.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CheckBox" fmlaLink="$AG$67" noThreeD="1" val="0"/>
</file>

<file path=xl/ctrlProps/ctrlProp2.xml><?xml version="1.0" encoding="utf-8"?>
<formControlPr xmlns="http://schemas.microsoft.com/office/spreadsheetml/2009/9/main" objectType="CheckBox" checked="Checked" fmlaLink="$AG$60" noThreeD="1" val="0"/>
</file>

<file path=xl/ctrlProps/ctrlProp3.xml><?xml version="1.0" encoding="utf-8"?>
<formControlPr xmlns="http://schemas.microsoft.com/office/spreadsheetml/2009/9/main" objectType="CheckBox" fmlaLink="$AH$60" noThreeD="1" val="0"/>
</file>

<file path=xl/ctrlProps/ctrlProp4.xml><?xml version="1.0" encoding="utf-8"?>
<formControlPr xmlns="http://schemas.microsoft.com/office/spreadsheetml/2009/9/main" objectType="CheckBox" fmlaLink="$AG$72" noThreeD="1" val="0"/>
</file>

<file path=xl/ctrlProps/ctrlProp5.xml><?xml version="1.0" encoding="utf-8"?>
<formControlPr xmlns="http://schemas.microsoft.com/office/spreadsheetml/2009/9/main" objectType="CheckBox" fmlaLink="$AH$72" noThreeD="1" val="0"/>
</file>

<file path=xl/ctrlProps/ctrlProp6.xml><?xml version="1.0" encoding="utf-8"?>
<formControlPr xmlns="http://schemas.microsoft.com/office/spreadsheetml/2009/9/main" objectType="CheckBox" checked="Checked" fmlaLink="$AG$58" noThreeD="1" val="0"/>
</file>

<file path=xl/ctrlProps/ctrlProp7.xml><?xml version="1.0" encoding="utf-8"?>
<formControlPr xmlns="http://schemas.microsoft.com/office/spreadsheetml/2009/9/main" objectType="CheckBox" fmlaLink="$AH$58" noThreeD="1" val="0"/>
</file>

<file path=xl/ctrlProps/ctrlProp8.xml><?xml version="1.0" encoding="utf-8"?>
<formControlPr xmlns="http://schemas.microsoft.com/office/spreadsheetml/2009/9/main" objectType="CheckBox" fmlaLink="$AG$64" noThreeD="1" val="0"/>
</file>

<file path=xl/ctrlProps/ctrlProp9.xml><?xml version="1.0" encoding="utf-8"?>
<formControlPr xmlns="http://schemas.microsoft.com/office/spreadsheetml/2009/9/main" objectType="CheckBox" fmlaLink="$AH$64" noThreeD="1" val="0"/>
</file>

<file path=xl/ctrlProps/ctrlProp10.xml><?xml version="1.0" encoding="utf-8"?>
<formControlPr xmlns="http://schemas.microsoft.com/office/spreadsheetml/2009/9/main" objectType="CheckBox" fmlaLink="$AI$64" noThreeD="1" val="0"/>
</file>

<file path=xl/ctrlProps/ctrlProp11.xml><?xml version="1.0" encoding="utf-8"?>
<formControlPr xmlns="http://schemas.microsoft.com/office/spreadsheetml/2009/9/main" objectType="CheckBox" fmlaLink="$AJ$17" noThreeD="1" val="0"/>
</file>

<file path=xl/ctrlProps/ctrlProp12.xml><?xml version="1.0" encoding="utf-8"?>
<formControlPr xmlns="http://schemas.microsoft.com/office/spreadsheetml/2009/9/main" objectType="CheckBox" fmlaLink="$AG$65" noThreeD="1" val="0"/>
</file>

<file path=xl/ctrlProps/ctrlProp13.xml><?xml version="1.0" encoding="utf-8"?>
<formControlPr xmlns="http://schemas.microsoft.com/office/spreadsheetml/2009/9/main" objectType="CheckBox" fmlaLink="$AH$65" noThreeD="1" val="0"/>
</file>

<file path=xl/ctrlProps/ctrlProp14.xml><?xml version="1.0" encoding="utf-8"?>
<formControlPr xmlns="http://schemas.microsoft.com/office/spreadsheetml/2009/9/main" objectType="CheckBox" fmlaLink="$AH$66" noThreeD="1" val="0"/>
</file>

<file path=xl/ctrlProps/ctrlProp15.xml><?xml version="1.0" encoding="utf-8"?>
<formControlPr xmlns="http://schemas.microsoft.com/office/spreadsheetml/2009/9/main" objectType="CheckBox" fmlaLink="$AI$66" noThreeD="1" val="0"/>
</file>

<file path=xl/ctrlProps/ctrlProp16.xml><?xml version="1.0" encoding="utf-8"?>
<formControlPr xmlns="http://schemas.microsoft.com/office/spreadsheetml/2009/9/main" objectType="CheckBox" fmlaLink="$AG$66" noThreeD="1" val="0"/>
</file>

<file path=xl/ctrlProps/ctrlProp17.xml><?xml version="1.0" encoding="utf-8"?>
<formControlPr xmlns="http://schemas.microsoft.com/office/spreadsheetml/2009/9/main" objectType="CheckBox" fmlaLink="$AG$71" noThreeD="1" val="0"/>
</file>

<file path=xl/ctrlProps/ctrlProp18.xml><?xml version="1.0" encoding="utf-8"?>
<formControlPr xmlns="http://schemas.microsoft.com/office/spreadsheetml/2009/9/main" objectType="CheckBox" fmlaLink="$AG$68" noThreeD="1" val="0"/>
</file>

<file path=xl/ctrlProps/ctrlProp19.xml><?xml version="1.0" encoding="utf-8"?>
<formControlPr xmlns="http://schemas.microsoft.com/office/spreadsheetml/2009/9/main" objectType="CheckBox" fmlaLink="$AH$68" noThreeD="1" val="0"/>
</file>

<file path=xl/ctrlProps/ctrlProp20.xml><?xml version="1.0" encoding="utf-8"?>
<formControlPr xmlns="http://schemas.microsoft.com/office/spreadsheetml/2009/9/main" objectType="CheckBox" fmlaLink="$AI$68" noThreeD="1" val="0"/>
</file>

<file path=xl/ctrlProps/ctrlProp21.xml><?xml version="1.0" encoding="utf-8"?>
<formControlPr xmlns="http://schemas.microsoft.com/office/spreadsheetml/2009/9/main" objectType="CheckBox" fmlaLink="$AG$69" noThreeD="1" val="0"/>
</file>

<file path=xl/ctrlProps/ctrlProp22.xml><?xml version="1.0" encoding="utf-8"?>
<formControlPr xmlns="http://schemas.microsoft.com/office/spreadsheetml/2009/9/main" objectType="CheckBox" fmlaLink="$AH$69" noThreeD="1" val="0"/>
</file>

<file path=xl/ctrlProps/ctrlProp23.xml><?xml version="1.0" encoding="utf-8"?>
<formControlPr xmlns="http://schemas.microsoft.com/office/spreadsheetml/2009/9/main" objectType="CheckBox" fmlaLink="$AH$70" noThreeD="1" val="0"/>
</file>

<file path=xl/ctrlProps/ctrlProp24.xml><?xml version="1.0" encoding="utf-8"?>
<formControlPr xmlns="http://schemas.microsoft.com/office/spreadsheetml/2009/9/main" objectType="CheckBox" fmlaLink="$AI$70" noThreeD="1" val="0"/>
</file>

<file path=xl/ctrlProps/ctrlProp25.xml><?xml version="1.0" encoding="utf-8"?>
<formControlPr xmlns="http://schemas.microsoft.com/office/spreadsheetml/2009/9/main" objectType="CheckBox" fmlaLink="$AG$70"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fmlaLink="$AG$25" noThreeD="1" val="0"/>
</file>

<file path=xl/ctrlProps/ctrlProp28.xml><?xml version="1.0" encoding="utf-8"?>
<formControlPr xmlns="http://schemas.microsoft.com/office/spreadsheetml/2009/9/main" objectType="CheckBox" fmlaLink="$AI$25" noThreeD="1" val="0"/>
</file>

<file path=xl/ctrlProps/ctrlProp29.xml><?xml version="1.0" encoding="utf-8"?>
<formControlPr xmlns="http://schemas.microsoft.com/office/spreadsheetml/2009/9/main" objectType="CheckBox" checked="Checked" fmlaLink="$AH$25" noThreeD="1" val="0"/>
</file>

<file path=xl/ctrlProps/ctrlProp30.xml><?xml version="1.0" encoding="utf-8"?>
<formControlPr xmlns="http://schemas.microsoft.com/office/spreadsheetml/2009/9/main" objectType="CheckBox" fmlaLink="$AI$29" noThreeD="1" val="0"/>
</file>

<file path=xl/ctrlProps/ctrlProp31.xml><?xml version="1.0" encoding="utf-8"?>
<formControlPr xmlns="http://schemas.microsoft.com/office/spreadsheetml/2009/9/main" objectType="CheckBox" checked="Checked" fmlaLink="$AG$63" noThreeD="1" val="0"/>
</file>

<file path=xl/ctrlProps/ctrlProp32.xml><?xml version="1.0" encoding="utf-8"?>
<formControlPr xmlns="http://schemas.microsoft.com/office/spreadsheetml/2009/9/main" objectType="CheckBox" fmlaLink="$AH$63"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25</xdr:col>
      <xdr:colOff>333375</xdr:colOff>
      <xdr:row>3</xdr:row>
      <xdr:rowOff>19050</xdr:rowOff>
    </xdr:from>
    <xdr:to>
      <xdr:col>30</xdr:col>
      <xdr:colOff>95250</xdr:colOff>
      <xdr:row>5</xdr:row>
      <xdr:rowOff>28575</xdr:rowOff>
    </xdr:to>
    <xdr:pic>
      <xdr:nvPicPr>
        <xdr:cNvPr id="1591" name="Picture 1"/>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10355580" y="676275"/>
          <a:ext cx="155702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323850</xdr:colOff>
      <xdr:row>5</xdr:row>
      <xdr:rowOff>19050</xdr:rowOff>
    </xdr:from>
    <xdr:to>
      <xdr:col>30</xdr:col>
      <xdr:colOff>142875</xdr:colOff>
      <xdr:row>7</xdr:row>
      <xdr:rowOff>47625</xdr:rowOff>
    </xdr:to>
    <xdr:pic>
      <xdr:nvPicPr>
        <xdr:cNvPr id="1592" name="Picture 68"/>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11172825" y="1057275"/>
          <a:ext cx="78740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66</xdr:row>
          <xdr:rowOff>38100</xdr:rowOff>
        </xdr:from>
        <xdr:to>
          <xdr:col>6</xdr:col>
          <xdr:colOff>266700</xdr:colOff>
          <xdr:row>66</xdr:row>
          <xdr:rowOff>228600</xdr:rowOff>
        </xdr:to>
        <xdr:sp>
          <xdr:nvSpPr>
            <xdr:cNvPr id="1090" name="Check Box 66" hidden="1">
              <a:extLst>
                <a:ext uri="{63B3BB69-23CF-44E3-9099-C40C66FF867C}">
                  <a14:compatExt spid="_x0000_s1090"/>
                </a:ext>
              </a:extLst>
            </xdr:cNvPr>
            <xdr:cNvSpPr/>
          </xdr:nvSpPr>
          <xdr:spPr>
            <a:xfrm>
              <a:off x="2012950" y="1229677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59</xdr:row>
          <xdr:rowOff>0</xdr:rowOff>
        </xdr:from>
        <xdr:to>
          <xdr:col>11</xdr:col>
          <xdr:colOff>9525</xdr:colOff>
          <xdr:row>60</xdr:row>
          <xdr:rowOff>76200</xdr:rowOff>
        </xdr:to>
        <xdr:sp>
          <xdr:nvSpPr>
            <xdr:cNvPr id="1105" name="Check Box 81" hidden="1">
              <a:extLst>
                <a:ext uri="{63B3BB69-23CF-44E3-9099-C40C66FF867C}">
                  <a14:compatExt spid="_x0000_s1105"/>
                </a:ext>
              </a:extLst>
            </xdr:cNvPr>
            <xdr:cNvSpPr/>
          </xdr:nvSpPr>
          <xdr:spPr>
            <a:xfrm>
              <a:off x="3607435" y="10858500"/>
              <a:ext cx="1026795" cy="21907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59</xdr:row>
          <xdr:rowOff>0</xdr:rowOff>
        </xdr:from>
        <xdr:to>
          <xdr:col>13</xdr:col>
          <xdr:colOff>200025</xdr:colOff>
          <xdr:row>61</xdr:row>
          <xdr:rowOff>0</xdr:rowOff>
        </xdr:to>
        <xdr:sp>
          <xdr:nvSpPr>
            <xdr:cNvPr id="1106" name="Check Box 82" hidden="1">
              <a:extLst>
                <a:ext uri="{63B3BB69-23CF-44E3-9099-C40C66FF867C}">
                  <a14:compatExt spid="_x0000_s1106"/>
                </a:ext>
              </a:extLst>
            </xdr:cNvPr>
            <xdr:cNvSpPr/>
          </xdr:nvSpPr>
          <xdr:spPr>
            <a:xfrm>
              <a:off x="4624705" y="10858500"/>
              <a:ext cx="831215" cy="2286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71</xdr:row>
          <xdr:rowOff>66675</xdr:rowOff>
        </xdr:from>
        <xdr:to>
          <xdr:col>6</xdr:col>
          <xdr:colOff>57150</xdr:colOff>
          <xdr:row>71</xdr:row>
          <xdr:rowOff>247650</xdr:rowOff>
        </xdr:to>
        <xdr:sp>
          <xdr:nvSpPr>
            <xdr:cNvPr id="1109" name="Check Box 85" hidden="1">
              <a:extLst>
                <a:ext uri="{63B3BB69-23CF-44E3-9099-C40C66FF867C}">
                  <a14:compatExt spid="_x0000_s1109"/>
                </a:ext>
              </a:extLst>
            </xdr:cNvPr>
            <xdr:cNvSpPr/>
          </xdr:nvSpPr>
          <xdr:spPr>
            <a:xfrm>
              <a:off x="1444625" y="13515975"/>
              <a:ext cx="1017270" cy="18097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71</xdr:row>
          <xdr:rowOff>76200</xdr:rowOff>
        </xdr:from>
        <xdr:to>
          <xdr:col>10</xdr:col>
          <xdr:colOff>76200</xdr:colOff>
          <xdr:row>71</xdr:row>
          <xdr:rowOff>266700</xdr:rowOff>
        </xdr:to>
        <xdr:sp>
          <xdr:nvSpPr>
            <xdr:cNvPr id="1110" name="Check Box 86" hidden="1">
              <a:extLst>
                <a:ext uri="{63B3BB69-23CF-44E3-9099-C40C66FF867C}">
                  <a14:compatExt spid="_x0000_s1110"/>
                </a:ext>
              </a:extLst>
            </xdr:cNvPr>
            <xdr:cNvSpPr/>
          </xdr:nvSpPr>
          <xdr:spPr>
            <a:xfrm>
              <a:off x="3146425" y="13525500"/>
              <a:ext cx="694690" cy="1905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57</xdr:row>
          <xdr:rowOff>19050</xdr:rowOff>
        </xdr:from>
        <xdr:to>
          <xdr:col>11</xdr:col>
          <xdr:colOff>0</xdr:colOff>
          <xdr:row>57</xdr:row>
          <xdr:rowOff>200025</xdr:rowOff>
        </xdr:to>
        <xdr:sp>
          <xdr:nvSpPr>
            <xdr:cNvPr id="1113" name="Check Box 89" hidden="1">
              <a:extLst>
                <a:ext uri="{63B3BB69-23CF-44E3-9099-C40C66FF867C}">
                  <a14:compatExt spid="_x0000_s1113"/>
                </a:ext>
              </a:extLst>
            </xdr:cNvPr>
            <xdr:cNvSpPr/>
          </xdr:nvSpPr>
          <xdr:spPr>
            <a:xfrm>
              <a:off x="3588385" y="10420350"/>
              <a:ext cx="1036320" cy="18097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57</xdr:row>
          <xdr:rowOff>19050</xdr:rowOff>
        </xdr:from>
        <xdr:to>
          <xdr:col>13</xdr:col>
          <xdr:colOff>28575</xdr:colOff>
          <xdr:row>57</xdr:row>
          <xdr:rowOff>209550</xdr:rowOff>
        </xdr:to>
        <xdr:sp>
          <xdr:nvSpPr>
            <xdr:cNvPr id="1114" name="Check Box 90" hidden="1">
              <a:extLst>
                <a:ext uri="{63B3BB69-23CF-44E3-9099-C40C66FF867C}">
                  <a14:compatExt spid="_x0000_s1114"/>
                </a:ext>
              </a:extLst>
            </xdr:cNvPr>
            <xdr:cNvSpPr/>
          </xdr:nvSpPr>
          <xdr:spPr>
            <a:xfrm>
              <a:off x="4624705" y="10420350"/>
              <a:ext cx="659765" cy="1905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63</xdr:row>
          <xdr:rowOff>38100</xdr:rowOff>
        </xdr:from>
        <xdr:to>
          <xdr:col>6</xdr:col>
          <xdr:colOff>266700</xdr:colOff>
          <xdr:row>63</xdr:row>
          <xdr:rowOff>228600</xdr:rowOff>
        </xdr:to>
        <xdr:sp>
          <xdr:nvSpPr>
            <xdr:cNvPr id="1142" name="Check Box 118" hidden="1">
              <a:extLst>
                <a:ext uri="{63B3BB69-23CF-44E3-9099-C40C66FF867C}">
                  <a14:compatExt spid="_x0000_s1142"/>
                </a:ext>
              </a:extLst>
            </xdr:cNvPr>
            <xdr:cNvSpPr/>
          </xdr:nvSpPr>
          <xdr:spPr>
            <a:xfrm>
              <a:off x="2012950" y="1158240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63</xdr:row>
          <xdr:rowOff>28575</xdr:rowOff>
        </xdr:from>
        <xdr:to>
          <xdr:col>10</xdr:col>
          <xdr:colOff>609600</xdr:colOff>
          <xdr:row>63</xdr:row>
          <xdr:rowOff>219075</xdr:rowOff>
        </xdr:to>
        <xdr:sp>
          <xdr:nvSpPr>
            <xdr:cNvPr id="1143" name="Check Box 119" hidden="1">
              <a:extLst>
                <a:ext uri="{63B3BB69-23CF-44E3-9099-C40C66FF867C}">
                  <a14:compatExt spid="_x0000_s1143"/>
                </a:ext>
              </a:extLst>
            </xdr:cNvPr>
            <xdr:cNvSpPr/>
          </xdr:nvSpPr>
          <xdr:spPr>
            <a:xfrm>
              <a:off x="3764915" y="11572875"/>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63</xdr:row>
          <xdr:rowOff>28575</xdr:rowOff>
        </xdr:from>
        <xdr:to>
          <xdr:col>14</xdr:col>
          <xdr:colOff>209550</xdr:colOff>
          <xdr:row>63</xdr:row>
          <xdr:rowOff>219075</xdr:rowOff>
        </xdr:to>
        <xdr:sp>
          <xdr:nvSpPr>
            <xdr:cNvPr id="1144" name="Check Box 120" hidden="1">
              <a:extLst>
                <a:ext uri="{63B3BB69-23CF-44E3-9099-C40C66FF867C}">
                  <a14:compatExt spid="_x0000_s1144"/>
                </a:ext>
              </a:extLst>
            </xdr:cNvPr>
            <xdr:cNvSpPr/>
          </xdr:nvSpPr>
          <xdr:spPr>
            <a:xfrm>
              <a:off x="5080635" y="11572875"/>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16</xdr:row>
          <xdr:rowOff>0</xdr:rowOff>
        </xdr:from>
        <xdr:to>
          <xdr:col>18</xdr:col>
          <xdr:colOff>238125</xdr:colOff>
          <xdr:row>17</xdr:row>
          <xdr:rowOff>9525</xdr:rowOff>
        </xdr:to>
        <xdr:sp>
          <xdr:nvSpPr>
            <xdr:cNvPr id="1155" name="Check Box 131" hidden="1">
              <a:extLst>
                <a:ext uri="{63B3BB69-23CF-44E3-9099-C40C66FF867C}">
                  <a14:compatExt spid="_x0000_s1155"/>
                </a:ext>
              </a:extLst>
            </xdr:cNvPr>
            <xdr:cNvSpPr/>
          </xdr:nvSpPr>
          <xdr:spPr>
            <a:xfrm>
              <a:off x="7441565" y="3095625"/>
              <a:ext cx="228600" cy="200025"/>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64</xdr:row>
          <xdr:rowOff>38100</xdr:rowOff>
        </xdr:from>
        <xdr:to>
          <xdr:col>6</xdr:col>
          <xdr:colOff>266700</xdr:colOff>
          <xdr:row>64</xdr:row>
          <xdr:rowOff>228600</xdr:rowOff>
        </xdr:to>
        <xdr:sp>
          <xdr:nvSpPr>
            <xdr:cNvPr id="1158" name="Check Box 134" hidden="1">
              <a:extLst>
                <a:ext uri="{63B3BB69-23CF-44E3-9099-C40C66FF867C}">
                  <a14:compatExt spid="_x0000_s1158"/>
                </a:ext>
              </a:extLst>
            </xdr:cNvPr>
            <xdr:cNvSpPr/>
          </xdr:nvSpPr>
          <xdr:spPr>
            <a:xfrm>
              <a:off x="2012950" y="1182052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64</xdr:row>
          <xdr:rowOff>28575</xdr:rowOff>
        </xdr:from>
        <xdr:to>
          <xdr:col>10</xdr:col>
          <xdr:colOff>609600</xdr:colOff>
          <xdr:row>64</xdr:row>
          <xdr:rowOff>219075</xdr:rowOff>
        </xdr:to>
        <xdr:sp>
          <xdr:nvSpPr>
            <xdr:cNvPr id="1159" name="Check Box 135" hidden="1">
              <a:extLst>
                <a:ext uri="{63B3BB69-23CF-44E3-9099-C40C66FF867C}">
                  <a14:compatExt spid="_x0000_s1159"/>
                </a:ext>
              </a:extLst>
            </xdr:cNvPr>
            <xdr:cNvSpPr/>
          </xdr:nvSpPr>
          <xdr:spPr>
            <a:xfrm>
              <a:off x="3764915" y="118110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65</xdr:row>
          <xdr:rowOff>19050</xdr:rowOff>
        </xdr:from>
        <xdr:to>
          <xdr:col>10</xdr:col>
          <xdr:colOff>609600</xdr:colOff>
          <xdr:row>65</xdr:row>
          <xdr:rowOff>209550</xdr:rowOff>
        </xdr:to>
        <xdr:sp>
          <xdr:nvSpPr>
            <xdr:cNvPr id="1161" name="Check Box 137" hidden="1">
              <a:extLst>
                <a:ext uri="{63B3BB69-23CF-44E3-9099-C40C66FF867C}">
                  <a14:compatExt spid="_x0000_s1161"/>
                </a:ext>
              </a:extLst>
            </xdr:cNvPr>
            <xdr:cNvSpPr/>
          </xdr:nvSpPr>
          <xdr:spPr>
            <a:xfrm>
              <a:off x="3764915" y="120396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65</xdr:row>
          <xdr:rowOff>19050</xdr:rowOff>
        </xdr:from>
        <xdr:to>
          <xdr:col>14</xdr:col>
          <xdr:colOff>200025</xdr:colOff>
          <xdr:row>65</xdr:row>
          <xdr:rowOff>209550</xdr:rowOff>
        </xdr:to>
        <xdr:sp>
          <xdr:nvSpPr>
            <xdr:cNvPr id="1162" name="Check Box 138" hidden="1">
              <a:extLst>
                <a:ext uri="{63B3BB69-23CF-44E3-9099-C40C66FF867C}">
                  <a14:compatExt spid="_x0000_s1162"/>
                </a:ext>
              </a:extLst>
            </xdr:cNvPr>
            <xdr:cNvSpPr/>
          </xdr:nvSpPr>
          <xdr:spPr>
            <a:xfrm>
              <a:off x="5071110" y="12039600"/>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65</xdr:row>
          <xdr:rowOff>38100</xdr:rowOff>
        </xdr:from>
        <xdr:to>
          <xdr:col>6</xdr:col>
          <xdr:colOff>276225</xdr:colOff>
          <xdr:row>65</xdr:row>
          <xdr:rowOff>228600</xdr:rowOff>
        </xdr:to>
        <xdr:sp>
          <xdr:nvSpPr>
            <xdr:cNvPr id="1163" name="Check Box 139" hidden="1">
              <a:extLst>
                <a:ext uri="{63B3BB69-23CF-44E3-9099-C40C66FF867C}">
                  <a14:compatExt spid="_x0000_s1163"/>
                </a:ext>
              </a:extLst>
            </xdr:cNvPr>
            <xdr:cNvSpPr/>
          </xdr:nvSpPr>
          <xdr:spPr>
            <a:xfrm>
              <a:off x="2022475" y="1205865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70</xdr:row>
          <xdr:rowOff>38100</xdr:rowOff>
        </xdr:from>
        <xdr:to>
          <xdr:col>6</xdr:col>
          <xdr:colOff>266700</xdr:colOff>
          <xdr:row>70</xdr:row>
          <xdr:rowOff>228600</xdr:rowOff>
        </xdr:to>
        <xdr:sp>
          <xdr:nvSpPr>
            <xdr:cNvPr id="1164" name="Check Box 140" hidden="1">
              <a:extLst>
                <a:ext uri="{63B3BB69-23CF-44E3-9099-C40C66FF867C}">
                  <a14:compatExt spid="_x0000_s1164"/>
                </a:ext>
              </a:extLst>
            </xdr:cNvPr>
            <xdr:cNvSpPr/>
          </xdr:nvSpPr>
          <xdr:spPr>
            <a:xfrm>
              <a:off x="2012950" y="1324927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38100</xdr:rowOff>
        </xdr:from>
        <xdr:to>
          <xdr:col>6</xdr:col>
          <xdr:colOff>266700</xdr:colOff>
          <xdr:row>67</xdr:row>
          <xdr:rowOff>228600</xdr:rowOff>
        </xdr:to>
        <xdr:sp>
          <xdr:nvSpPr>
            <xdr:cNvPr id="1165" name="Check Box 141" hidden="1">
              <a:extLst>
                <a:ext uri="{63B3BB69-23CF-44E3-9099-C40C66FF867C}">
                  <a14:compatExt spid="_x0000_s1165"/>
                </a:ext>
              </a:extLst>
            </xdr:cNvPr>
            <xdr:cNvSpPr/>
          </xdr:nvSpPr>
          <xdr:spPr>
            <a:xfrm>
              <a:off x="2012950" y="1253490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67</xdr:row>
          <xdr:rowOff>28575</xdr:rowOff>
        </xdr:from>
        <xdr:to>
          <xdr:col>10</xdr:col>
          <xdr:colOff>609600</xdr:colOff>
          <xdr:row>67</xdr:row>
          <xdr:rowOff>219075</xdr:rowOff>
        </xdr:to>
        <xdr:sp>
          <xdr:nvSpPr>
            <xdr:cNvPr id="1166" name="Check Box 142" hidden="1">
              <a:extLst>
                <a:ext uri="{63B3BB69-23CF-44E3-9099-C40C66FF867C}">
                  <a14:compatExt spid="_x0000_s1166"/>
                </a:ext>
              </a:extLst>
            </xdr:cNvPr>
            <xdr:cNvSpPr/>
          </xdr:nvSpPr>
          <xdr:spPr>
            <a:xfrm>
              <a:off x="3764915" y="12525375"/>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67</xdr:row>
          <xdr:rowOff>28575</xdr:rowOff>
        </xdr:from>
        <xdr:to>
          <xdr:col>14</xdr:col>
          <xdr:colOff>209550</xdr:colOff>
          <xdr:row>67</xdr:row>
          <xdr:rowOff>219075</xdr:rowOff>
        </xdr:to>
        <xdr:sp>
          <xdr:nvSpPr>
            <xdr:cNvPr id="1167" name="Check Box 143" hidden="1">
              <a:extLst>
                <a:ext uri="{63B3BB69-23CF-44E3-9099-C40C66FF867C}">
                  <a14:compatExt spid="_x0000_s1167"/>
                </a:ext>
              </a:extLst>
            </xdr:cNvPr>
            <xdr:cNvSpPr/>
          </xdr:nvSpPr>
          <xdr:spPr>
            <a:xfrm>
              <a:off x="5080635" y="12525375"/>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38100</xdr:rowOff>
        </xdr:from>
        <xdr:to>
          <xdr:col>6</xdr:col>
          <xdr:colOff>266700</xdr:colOff>
          <xdr:row>68</xdr:row>
          <xdr:rowOff>228600</xdr:rowOff>
        </xdr:to>
        <xdr:sp>
          <xdr:nvSpPr>
            <xdr:cNvPr id="1168" name="Check Box 144" hidden="1">
              <a:extLst>
                <a:ext uri="{63B3BB69-23CF-44E3-9099-C40C66FF867C}">
                  <a14:compatExt spid="_x0000_s1168"/>
                </a:ext>
              </a:extLst>
            </xdr:cNvPr>
            <xdr:cNvSpPr/>
          </xdr:nvSpPr>
          <xdr:spPr>
            <a:xfrm>
              <a:off x="2012950" y="1277302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68</xdr:row>
          <xdr:rowOff>28575</xdr:rowOff>
        </xdr:from>
        <xdr:to>
          <xdr:col>10</xdr:col>
          <xdr:colOff>609600</xdr:colOff>
          <xdr:row>68</xdr:row>
          <xdr:rowOff>219075</xdr:rowOff>
        </xdr:to>
        <xdr:sp>
          <xdr:nvSpPr>
            <xdr:cNvPr id="1169" name="Check Box 145" hidden="1">
              <a:extLst>
                <a:ext uri="{63B3BB69-23CF-44E3-9099-C40C66FF867C}">
                  <a14:compatExt spid="_x0000_s1169"/>
                </a:ext>
              </a:extLst>
            </xdr:cNvPr>
            <xdr:cNvSpPr/>
          </xdr:nvSpPr>
          <xdr:spPr>
            <a:xfrm>
              <a:off x="3764915" y="127635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69</xdr:row>
          <xdr:rowOff>19050</xdr:rowOff>
        </xdr:from>
        <xdr:to>
          <xdr:col>10</xdr:col>
          <xdr:colOff>609600</xdr:colOff>
          <xdr:row>69</xdr:row>
          <xdr:rowOff>209550</xdr:rowOff>
        </xdr:to>
        <xdr:sp>
          <xdr:nvSpPr>
            <xdr:cNvPr id="1170" name="Check Box 146" hidden="1">
              <a:extLst>
                <a:ext uri="{63B3BB69-23CF-44E3-9099-C40C66FF867C}">
                  <a14:compatExt spid="_x0000_s1170"/>
                </a:ext>
              </a:extLst>
            </xdr:cNvPr>
            <xdr:cNvSpPr/>
          </xdr:nvSpPr>
          <xdr:spPr>
            <a:xfrm>
              <a:off x="3764915" y="129921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69</xdr:row>
          <xdr:rowOff>19050</xdr:rowOff>
        </xdr:from>
        <xdr:to>
          <xdr:col>14</xdr:col>
          <xdr:colOff>200025</xdr:colOff>
          <xdr:row>69</xdr:row>
          <xdr:rowOff>209550</xdr:rowOff>
        </xdr:to>
        <xdr:sp>
          <xdr:nvSpPr>
            <xdr:cNvPr id="1171" name="Check Box 147" hidden="1">
              <a:extLst>
                <a:ext uri="{63B3BB69-23CF-44E3-9099-C40C66FF867C}">
                  <a14:compatExt spid="_x0000_s1171"/>
                </a:ext>
              </a:extLst>
            </xdr:cNvPr>
            <xdr:cNvSpPr/>
          </xdr:nvSpPr>
          <xdr:spPr>
            <a:xfrm>
              <a:off x="5071110" y="12992100"/>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69</xdr:row>
          <xdr:rowOff>38100</xdr:rowOff>
        </xdr:from>
        <xdr:to>
          <xdr:col>6</xdr:col>
          <xdr:colOff>276225</xdr:colOff>
          <xdr:row>69</xdr:row>
          <xdr:rowOff>228600</xdr:rowOff>
        </xdr:to>
        <xdr:sp>
          <xdr:nvSpPr>
            <xdr:cNvPr id="1172" name="Check Box 148" hidden="1">
              <a:extLst>
                <a:ext uri="{63B3BB69-23CF-44E3-9099-C40C66FF867C}">
                  <a14:compatExt spid="_x0000_s1172"/>
                </a:ext>
              </a:extLst>
            </xdr:cNvPr>
            <xdr:cNvSpPr/>
          </xdr:nvSpPr>
          <xdr:spPr>
            <a:xfrm>
              <a:off x="2022475" y="1301115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7" name="Check Box 153" hidden="1">
              <a:extLst>
                <a:ext uri="{63B3BB69-23CF-44E3-9099-C40C66FF867C}">
                  <a14:compatExt spid="_x0000_s1177"/>
                </a:ext>
              </a:extLst>
            </xdr:cNvPr>
            <xdr:cNvSpPr/>
          </xdr:nvSpPr>
          <xdr:spPr>
            <a:xfrm>
              <a:off x="4653280" y="4610100"/>
              <a:ext cx="265430" cy="20002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8" name="Check Box 154" hidden="1">
              <a:extLst>
                <a:ext uri="{63B3BB69-23CF-44E3-9099-C40C66FF867C}">
                  <a14:compatExt spid="_x0000_s1178"/>
                </a:ext>
              </a:extLst>
            </xdr:cNvPr>
            <xdr:cNvSpPr/>
          </xdr:nvSpPr>
          <xdr:spPr>
            <a:xfrm>
              <a:off x="4653280" y="4610100"/>
              <a:ext cx="265430" cy="20002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25</xdr:row>
          <xdr:rowOff>180975</xdr:rowOff>
        </xdr:from>
        <xdr:to>
          <xdr:col>12</xdr:col>
          <xdr:colOff>0</xdr:colOff>
          <xdr:row>27</xdr:row>
          <xdr:rowOff>0</xdr:rowOff>
        </xdr:to>
        <xdr:sp>
          <xdr:nvSpPr>
            <xdr:cNvPr id="1179" name="Check Box 155" hidden="1">
              <a:extLst>
                <a:ext uri="{63B3BB69-23CF-44E3-9099-C40C66FF867C}">
                  <a14:compatExt spid="_x0000_s1179"/>
                </a:ext>
              </a:extLst>
            </xdr:cNvPr>
            <xdr:cNvSpPr/>
          </xdr:nvSpPr>
          <xdr:spPr>
            <a:xfrm>
              <a:off x="4653280" y="4991100"/>
              <a:ext cx="265430" cy="20002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23</xdr:row>
          <xdr:rowOff>171450</xdr:rowOff>
        </xdr:from>
        <xdr:to>
          <xdr:col>15</xdr:col>
          <xdr:colOff>238125</xdr:colOff>
          <xdr:row>24</xdr:row>
          <xdr:rowOff>180975</xdr:rowOff>
        </xdr:to>
        <xdr:sp>
          <xdr:nvSpPr>
            <xdr:cNvPr id="1180" name="Check Box 156" hidden="1">
              <a:extLst>
                <a:ext uri="{63B3BB69-23CF-44E3-9099-C40C66FF867C}">
                  <a14:compatExt spid="_x0000_s1180"/>
                </a:ext>
              </a:extLst>
            </xdr:cNvPr>
            <xdr:cNvSpPr/>
          </xdr:nvSpPr>
          <xdr:spPr>
            <a:xfrm>
              <a:off x="5627370" y="4600575"/>
              <a:ext cx="487045" cy="20002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180975</xdr:rowOff>
        </xdr:from>
        <xdr:to>
          <xdr:col>18</xdr:col>
          <xdr:colOff>228600</xdr:colOff>
          <xdr:row>29</xdr:row>
          <xdr:rowOff>0</xdr:rowOff>
        </xdr:to>
        <xdr:sp>
          <xdr:nvSpPr>
            <xdr:cNvPr id="1181" name="Check Box 157" hidden="1">
              <a:extLst>
                <a:ext uri="{63B3BB69-23CF-44E3-9099-C40C66FF867C}">
                  <a14:compatExt spid="_x0000_s1181"/>
                </a:ext>
              </a:extLst>
            </xdr:cNvPr>
            <xdr:cNvSpPr/>
          </xdr:nvSpPr>
          <xdr:spPr>
            <a:xfrm>
              <a:off x="7432040" y="5362575"/>
              <a:ext cx="228600" cy="19050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62</xdr:row>
          <xdr:rowOff>19050</xdr:rowOff>
        </xdr:from>
        <xdr:to>
          <xdr:col>5</xdr:col>
          <xdr:colOff>295275</xdr:colOff>
          <xdr:row>62</xdr:row>
          <xdr:rowOff>247650</xdr:rowOff>
        </xdr:to>
        <xdr:sp>
          <xdr:nvSpPr>
            <xdr:cNvPr id="1182" name="Check Box 158" hidden="1">
              <a:extLst>
                <a:ext uri="{63B3BB69-23CF-44E3-9099-C40C66FF867C}">
                  <a14:compatExt spid="_x0000_s1182"/>
                </a:ext>
              </a:extLst>
            </xdr:cNvPr>
            <xdr:cNvSpPr/>
          </xdr:nvSpPr>
          <xdr:spPr>
            <a:xfrm>
              <a:off x="1463675" y="11268075"/>
              <a:ext cx="844550" cy="2286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38100</xdr:rowOff>
        </xdr:from>
        <xdr:to>
          <xdr:col>10</xdr:col>
          <xdr:colOff>180975</xdr:colOff>
          <xdr:row>62</xdr:row>
          <xdr:rowOff>266700</xdr:rowOff>
        </xdr:to>
        <xdr:sp>
          <xdr:nvSpPr>
            <xdr:cNvPr id="1183" name="Check Box 159" hidden="1">
              <a:extLst>
                <a:ext uri="{63B3BB69-23CF-44E3-9099-C40C66FF867C}">
                  <a14:compatExt spid="_x0000_s1183"/>
                </a:ext>
              </a:extLst>
            </xdr:cNvPr>
            <xdr:cNvSpPr/>
          </xdr:nvSpPr>
          <xdr:spPr>
            <a:xfrm>
              <a:off x="3089275" y="11287125"/>
              <a:ext cx="856615" cy="228600"/>
            </a:xfrm>
            <a:prstGeom prst="rect">
              <a:avLst/>
            </a:prstGeom>
          </xdr:spPr>
          <xdr:txBody>
            <a:bodyPr upright="1"/>
            <a:p>
              <a:endParaRPr lang="zh-CN" altLang="en-US"/>
            </a:p>
          </xdr:txBody>
        </xdr:sp>
        <xdr:clientData fLock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7" Type="http://schemas.openxmlformats.org/officeDocument/2006/relationships/hyperlink" Target="tel:(&#30005;&#35805;)" TargetMode="External"/><Relationship Id="rId36" Type="http://schemas.openxmlformats.org/officeDocument/2006/relationships/hyperlink" Target="tel:8620-87324730(USA) 8620-38928177(NON-USA)" TargetMode="External"/><Relationship Id="rId35" Type="http://schemas.openxmlformats.org/officeDocument/2006/relationships/hyperlink" Target="tel:00 31 20 80 80 351" TargetMode="External"/><Relationship Id="rId34" Type="http://schemas.openxmlformats.org/officeDocument/2006/relationships/ctrlProp" Target="../ctrlProps/ctrlProp32.xml"/><Relationship Id="rId33" Type="http://schemas.openxmlformats.org/officeDocument/2006/relationships/ctrlProp" Target="../ctrlProps/ctrlProp31.xml"/><Relationship Id="rId32" Type="http://schemas.openxmlformats.org/officeDocument/2006/relationships/ctrlProp" Target="../ctrlProps/ctrlProp30.xml"/><Relationship Id="rId31" Type="http://schemas.openxmlformats.org/officeDocument/2006/relationships/ctrlProp" Target="../ctrlProps/ctrlProp29.xml"/><Relationship Id="rId30" Type="http://schemas.openxmlformats.org/officeDocument/2006/relationships/ctrlProp" Target="../ctrlProps/ctrlProp28.xml"/><Relationship Id="rId3" Type="http://schemas.openxmlformats.org/officeDocument/2006/relationships/ctrlProp" Target="../ctrlProps/ctrlProp1.xml"/><Relationship Id="rId29" Type="http://schemas.openxmlformats.org/officeDocument/2006/relationships/ctrlProp" Target="../ctrlProps/ctrlProp27.xml"/><Relationship Id="rId28" Type="http://schemas.openxmlformats.org/officeDocument/2006/relationships/ctrlProp" Target="../ctrlProps/ctrlProp26.xml"/><Relationship Id="rId27" Type="http://schemas.openxmlformats.org/officeDocument/2006/relationships/ctrlProp" Target="../ctrlProps/ctrlProp25.xml"/><Relationship Id="rId26" Type="http://schemas.openxmlformats.org/officeDocument/2006/relationships/ctrlProp" Target="../ctrlProps/ctrlProp24.xml"/><Relationship Id="rId25" Type="http://schemas.openxmlformats.org/officeDocument/2006/relationships/ctrlProp" Target="../ctrlProps/ctrlProp23.xml"/><Relationship Id="rId24" Type="http://schemas.openxmlformats.org/officeDocument/2006/relationships/ctrlProp" Target="../ctrlProps/ctrlProp22.xml"/><Relationship Id="rId23" Type="http://schemas.openxmlformats.org/officeDocument/2006/relationships/ctrlProp" Target="../ctrlProps/ctrlProp21.xml"/><Relationship Id="rId22" Type="http://schemas.openxmlformats.org/officeDocument/2006/relationships/ctrlProp" Target="../ctrlProps/ctrlProp20.xml"/><Relationship Id="rId21" Type="http://schemas.openxmlformats.org/officeDocument/2006/relationships/ctrlProp" Target="../ctrlProps/ctrlProp19.xml"/><Relationship Id="rId20" Type="http://schemas.openxmlformats.org/officeDocument/2006/relationships/ctrlProp" Target="../ctrlProps/ctrlProp18.xml"/><Relationship Id="rId2" Type="http://schemas.openxmlformats.org/officeDocument/2006/relationships/vmlDrawing" Target="../drawings/vmlDrawing1.vml"/><Relationship Id="rId19" Type="http://schemas.openxmlformats.org/officeDocument/2006/relationships/ctrlProp" Target="../ctrlProps/ctrlProp17.xml"/><Relationship Id="rId18" Type="http://schemas.openxmlformats.org/officeDocument/2006/relationships/ctrlProp" Target="../ctrlProps/ctrlProp16.xml"/><Relationship Id="rId17" Type="http://schemas.openxmlformats.org/officeDocument/2006/relationships/ctrlProp" Target="../ctrlProps/ctrlProp15.xml"/><Relationship Id="rId16" Type="http://schemas.openxmlformats.org/officeDocument/2006/relationships/ctrlProp" Target="../ctrlProps/ctrlProp14.x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M77"/>
  <sheetViews>
    <sheetView tabSelected="1" view="pageLayout" zoomScaleNormal="100" topLeftCell="A24" workbookViewId="0">
      <selection activeCell="AM46" sqref="AM46"/>
    </sheetView>
  </sheetViews>
  <sheetFormatPr defaultColWidth="9" defaultRowHeight="13.5"/>
  <cols>
    <col min="2" max="2" width="3.56666666666667" customWidth="1"/>
    <col min="3" max="3" width="6.14166666666667" customWidth="1"/>
    <col min="4" max="4" width="5.70833333333333" customWidth="1"/>
    <col min="5" max="5" width="2" customWidth="1"/>
    <col min="6" max="6" width="5.14166666666667" customWidth="1"/>
    <col min="7" max="7" width="8.85833333333333" customWidth="1"/>
    <col min="8" max="8" width="3.425" customWidth="1"/>
    <col min="9" max="9" width="3" customWidth="1"/>
    <col min="10" max="10" width="2.56666666666667" customWidth="1"/>
    <col min="11" max="11" width="11.2833333333333" customWidth="1"/>
    <col min="12" max="12" width="3.85833333333333" customWidth="1"/>
    <col min="13" max="13" width="4.425" customWidth="1"/>
    <col min="14" max="14" width="4" customWidth="1"/>
    <col min="15" max="15" width="4.14166666666667" customWidth="1"/>
    <col min="16" max="16" width="7.28333333333333" customWidth="1"/>
    <col min="17" max="18" width="6.56666666666667" customWidth="1"/>
    <col min="19" max="19" width="6.425" customWidth="1"/>
    <col min="20" max="20" width="5.425" customWidth="1"/>
    <col min="21" max="21" width="5.28333333333333" customWidth="1"/>
    <col min="22" max="22" width="7" customWidth="1"/>
    <col min="23" max="23" width="3.85833333333333" customWidth="1"/>
    <col min="24" max="24" width="2.14166666666667" customWidth="1"/>
    <col min="25" max="25" width="3.85833333333333" customWidth="1"/>
    <col min="26" max="29" width="5.425" customWidth="1"/>
    <col min="30" max="30" width="1.85833333333333" customWidth="1"/>
    <col min="31" max="31" width="5.425" customWidth="1"/>
    <col min="32" max="32" width="11.7083333333333" hidden="1" customWidth="1"/>
    <col min="33" max="33" width="12" style="13" hidden="1" customWidth="1"/>
    <col min="34" max="34" width="16.1416666666667" style="13" hidden="1" customWidth="1"/>
    <col min="35" max="35" width="9.425" style="13" hidden="1" customWidth="1"/>
    <col min="36" max="36" width="12.1416666666667" style="13" hidden="1" customWidth="1"/>
    <col min="37" max="37" width="6.14166666666667" style="13" hidden="1" customWidth="1"/>
    <col min="38" max="38" width="16.7083333333333" style="13" hidden="1" customWidth="1"/>
    <col min="39" max="39" width="9.14166666666667" customWidth="1"/>
  </cols>
  <sheetData>
    <row r="1" ht="23.25" spans="1:33">
      <c r="A1" s="14" t="s">
        <v>0</v>
      </c>
      <c r="B1" s="15"/>
      <c r="C1" s="15"/>
      <c r="D1" s="15"/>
      <c r="E1" s="15"/>
      <c r="L1" s="16"/>
      <c r="M1" s="17"/>
      <c r="N1" s="17"/>
      <c r="O1" s="17"/>
      <c r="P1" s="17"/>
      <c r="Q1" s="17"/>
      <c r="R1" s="17"/>
      <c r="S1" s="17"/>
      <c r="T1" s="17"/>
      <c r="U1" s="17"/>
      <c r="V1" s="17"/>
      <c r="W1" s="17"/>
      <c r="X1" s="17"/>
    </row>
    <row r="2" spans="1:33">
      <c r="A2" s="18" t="s">
        <v>1</v>
      </c>
      <c r="B2" s="19"/>
      <c r="C2" s="19"/>
      <c r="D2" s="19"/>
      <c r="E2" s="19"/>
      <c r="F2" s="19"/>
      <c r="G2" s="19"/>
      <c r="H2" s="19"/>
      <c r="I2" s="19"/>
      <c r="J2" s="19"/>
      <c r="K2" s="20"/>
      <c r="L2" s="21" t="s">
        <v>2</v>
      </c>
      <c r="M2" s="22"/>
      <c r="N2" s="22"/>
      <c r="O2" s="22"/>
      <c r="P2" s="22"/>
      <c r="Q2" s="22"/>
      <c r="R2" s="22"/>
      <c r="S2" s="22"/>
      <c r="T2" s="22"/>
      <c r="U2" s="22"/>
      <c r="V2" s="23"/>
      <c r="W2" s="23"/>
      <c r="X2" s="23"/>
      <c r="Y2" s="23"/>
      <c r="Z2" s="23"/>
      <c r="AA2" s="23"/>
      <c r="AB2" s="23"/>
      <c r="AC2" s="23"/>
      <c r="AD2" s="23"/>
      <c r="AE2" s="24"/>
    </row>
    <row r="3" ht="15" spans="1:33">
      <c r="A3" s="25" t="s">
        <v>3</v>
      </c>
      <c r="B3" s="26"/>
      <c r="C3" s="26"/>
      <c r="D3" s="26"/>
      <c r="E3" s="26"/>
      <c r="F3" s="26"/>
      <c r="G3" s="26"/>
      <c r="H3" s="26"/>
      <c r="I3" s="26"/>
      <c r="J3" s="26"/>
      <c r="K3" s="27"/>
      <c r="L3" s="28" t="s">
        <v>4</v>
      </c>
      <c r="M3" s="16"/>
      <c r="N3" s="16"/>
      <c r="O3" s="16"/>
      <c r="P3" s="16"/>
      <c r="Q3" s="16"/>
      <c r="R3" s="16"/>
      <c r="S3" s="16"/>
      <c r="T3" s="16"/>
      <c r="U3" s="16"/>
      <c r="V3" s="16"/>
      <c r="W3" s="16"/>
      <c r="X3" s="16"/>
      <c r="Y3" s="29"/>
      <c r="Z3" s="30"/>
      <c r="AA3" s="30"/>
      <c r="AB3" s="30"/>
      <c r="AC3" s="30"/>
      <c r="AD3" s="30"/>
      <c r="AE3" s="31"/>
      <c r="AG3" s="13" t="b">
        <f>IF(A3&lt;&gt;"",TRUE,FALSE)</f>
        <v>1</v>
      </c>
    </row>
    <row r="4" ht="15" spans="1:33">
      <c r="A4" s="25" t="s">
        <v>5</v>
      </c>
      <c r="B4" s="26"/>
      <c r="C4" s="26"/>
      <c r="D4" s="26"/>
      <c r="E4" s="26"/>
      <c r="F4" s="26"/>
      <c r="G4" s="26"/>
      <c r="H4" s="26"/>
      <c r="I4" s="26"/>
      <c r="J4" s="26"/>
      <c r="K4" s="27"/>
      <c r="L4" s="32" t="s">
        <v>6</v>
      </c>
      <c r="M4" s="16"/>
      <c r="N4" s="16"/>
      <c r="O4" s="16"/>
      <c r="P4" s="16"/>
      <c r="Q4" s="16"/>
      <c r="R4" s="16"/>
      <c r="S4" s="16"/>
      <c r="T4" s="16"/>
      <c r="U4" s="16"/>
      <c r="V4" s="16"/>
      <c r="W4" s="16"/>
      <c r="X4" s="16"/>
      <c r="Y4" s="16"/>
      <c r="Z4" s="33"/>
      <c r="AA4" s="33"/>
      <c r="AB4" s="33"/>
      <c r="AC4" s="33"/>
      <c r="AD4" s="33"/>
      <c r="AE4" s="34"/>
      <c r="AG4" s="13" t="b">
        <f>IF(A4&lt;&gt;"",TRUE,FALSE)</f>
        <v>1</v>
      </c>
    </row>
    <row r="5" ht="15" spans="1:33">
      <c r="A5" s="25"/>
      <c r="B5" s="26"/>
      <c r="C5" s="26"/>
      <c r="D5" s="26"/>
      <c r="E5" s="26"/>
      <c r="F5" s="26"/>
      <c r="G5" s="26"/>
      <c r="H5" s="26"/>
      <c r="I5" s="26"/>
      <c r="J5" s="26"/>
      <c r="K5" s="27"/>
      <c r="L5" s="32" t="s">
        <v>7</v>
      </c>
      <c r="M5" s="16"/>
      <c r="N5" s="16"/>
      <c r="O5" s="16"/>
      <c r="P5" s="16"/>
      <c r="Q5" s="16"/>
      <c r="R5" s="16"/>
      <c r="S5" s="16"/>
      <c r="T5" s="16"/>
      <c r="U5" s="16"/>
      <c r="V5" s="16"/>
      <c r="W5" s="16"/>
      <c r="X5" s="16"/>
      <c r="Y5" s="16"/>
      <c r="Z5" s="16"/>
      <c r="AA5" s="16"/>
      <c r="AB5" s="16"/>
      <c r="AC5" s="16"/>
      <c r="AD5" s="16"/>
      <c r="AE5" s="35"/>
      <c r="AG5" s="13" t="b">
        <f>IF(A5&lt;&gt;"",TRUE,FALSE)</f>
        <v>0</v>
      </c>
    </row>
    <row r="6" ht="15" spans="1:33">
      <c r="A6" s="25"/>
      <c r="B6" s="26"/>
      <c r="C6" s="26"/>
      <c r="D6" s="26"/>
      <c r="E6" s="26"/>
      <c r="F6" s="26"/>
      <c r="G6" s="26"/>
      <c r="H6" s="26"/>
      <c r="I6" s="26"/>
      <c r="J6" s="26"/>
      <c r="K6" s="27"/>
      <c r="L6" s="36" t="s">
        <v>8</v>
      </c>
      <c r="T6" s="16"/>
      <c r="U6" s="16"/>
      <c r="V6" s="16"/>
      <c r="W6" s="16"/>
      <c r="X6" s="16"/>
      <c r="Y6" s="16"/>
      <c r="Z6" s="16"/>
      <c r="AA6" s="16"/>
      <c r="AB6" s="16"/>
      <c r="AC6" s="16"/>
      <c r="AD6" s="16"/>
      <c r="AE6" s="35"/>
      <c r="AG6" s="13" t="b">
        <f>IF(A6&lt;&gt;"",TRUE,FALSE)</f>
        <v>0</v>
      </c>
    </row>
    <row r="7" ht="15" spans="1:33">
      <c r="A7" s="25"/>
      <c r="B7" s="26"/>
      <c r="C7" s="26"/>
      <c r="D7" s="26"/>
      <c r="E7" s="26"/>
      <c r="F7" s="26"/>
      <c r="G7" s="26"/>
      <c r="H7" s="26"/>
      <c r="I7" s="26"/>
      <c r="J7" s="26"/>
      <c r="K7" s="27"/>
      <c r="L7" s="32" t="s">
        <v>9</v>
      </c>
      <c r="M7" s="16"/>
      <c r="N7" s="16"/>
      <c r="O7" s="16"/>
      <c r="P7" s="16"/>
      <c r="Q7" s="16"/>
      <c r="R7" s="16"/>
      <c r="S7" s="16"/>
      <c r="T7" s="16"/>
      <c r="U7" s="16"/>
      <c r="V7" s="16"/>
      <c r="W7" s="16"/>
      <c r="X7" s="16"/>
      <c r="Y7" s="16"/>
      <c r="Z7" s="16"/>
      <c r="AA7" s="16"/>
      <c r="AB7" s="16"/>
      <c r="AC7" s="16"/>
      <c r="AD7" s="16"/>
      <c r="AE7" s="35"/>
      <c r="AG7" s="13" t="b">
        <f>IF(A7&lt;&gt;"",TRUE,FALSE)</f>
        <v>0</v>
      </c>
    </row>
    <row r="8" ht="15" customHeight="1" spans="1:33">
      <c r="A8" s="37" t="s">
        <v>10</v>
      </c>
      <c r="B8" s="38"/>
      <c r="C8" s="39" t="s">
        <v>11</v>
      </c>
      <c r="D8" s="39"/>
      <c r="E8" s="39"/>
      <c r="F8" s="39"/>
      <c r="G8" s="39"/>
      <c r="H8" s="39"/>
      <c r="I8" s="39"/>
      <c r="J8" s="39"/>
      <c r="K8" s="40"/>
      <c r="L8" s="41"/>
      <c r="M8" s="42"/>
      <c r="N8" s="42"/>
      <c r="O8" s="42"/>
      <c r="P8" s="42"/>
      <c r="Q8" s="42"/>
      <c r="R8" s="42"/>
      <c r="S8" s="42"/>
      <c r="T8" s="42"/>
      <c r="U8" s="42"/>
      <c r="V8" s="42"/>
      <c r="W8" s="42"/>
      <c r="X8" s="42"/>
      <c r="Y8" s="42"/>
      <c r="Z8" s="42"/>
      <c r="AA8" s="42"/>
      <c r="AB8" s="42"/>
      <c r="AC8" s="42"/>
      <c r="AD8" s="42"/>
      <c r="AE8" s="43"/>
    </row>
    <row r="9" spans="1:33">
      <c r="A9" s="44" t="s">
        <v>12</v>
      </c>
      <c r="B9" s="45"/>
      <c r="C9" s="45"/>
      <c r="D9" s="45"/>
      <c r="E9" s="46" t="s">
        <v>13</v>
      </c>
      <c r="F9" s="46"/>
      <c r="G9" s="46"/>
      <c r="H9" s="46"/>
      <c r="I9" s="46"/>
      <c r="J9" s="46"/>
      <c r="K9" s="47"/>
      <c r="L9" s="41"/>
      <c r="M9" s="42"/>
      <c r="N9" s="42"/>
      <c r="O9" s="42"/>
      <c r="P9" s="42"/>
      <c r="Q9" s="42"/>
      <c r="R9" s="42"/>
      <c r="S9" s="42"/>
      <c r="T9" s="42"/>
      <c r="U9" s="42"/>
      <c r="V9" s="42"/>
      <c r="W9" s="42"/>
      <c r="X9" s="42"/>
      <c r="Y9" s="42"/>
      <c r="Z9" s="42"/>
      <c r="AA9" s="42"/>
      <c r="AB9" s="42"/>
      <c r="AC9" s="42"/>
      <c r="AD9" s="42"/>
      <c r="AE9" s="43"/>
    </row>
    <row r="10" ht="15" customHeight="1" spans="1:33">
      <c r="A10" s="44" t="s">
        <v>14</v>
      </c>
      <c r="B10" s="45"/>
      <c r="C10" s="45"/>
      <c r="D10" s="45"/>
      <c r="E10" s="45"/>
      <c r="F10" s="45"/>
      <c r="G10" s="45"/>
      <c r="H10" s="46" t="s">
        <v>15</v>
      </c>
      <c r="I10" s="46"/>
      <c r="J10" s="46"/>
      <c r="K10" s="47"/>
      <c r="L10" s="48" t="s">
        <v>16</v>
      </c>
      <c r="M10" s="49"/>
      <c r="N10" s="49"/>
      <c r="O10" s="49"/>
      <c r="P10" s="49"/>
      <c r="Q10" s="49"/>
      <c r="R10" s="49"/>
      <c r="S10" s="49"/>
      <c r="T10" s="49"/>
      <c r="U10" s="49"/>
      <c r="V10" s="49"/>
      <c r="W10" s="49"/>
      <c r="X10" s="49"/>
      <c r="Y10" s="49"/>
      <c r="Z10" s="49"/>
      <c r="AA10" s="49"/>
      <c r="AB10" s="49"/>
      <c r="AC10" s="49"/>
      <c r="AD10" s="49"/>
      <c r="AE10" s="50"/>
    </row>
    <row r="11" spans="1:33">
      <c r="A11" s="51"/>
      <c r="B11" s="52"/>
      <c r="C11" s="52"/>
      <c r="D11" s="52"/>
      <c r="E11" s="52"/>
      <c r="F11" s="52"/>
      <c r="G11" s="52"/>
      <c r="H11" s="52"/>
      <c r="I11" s="52"/>
      <c r="J11" s="52"/>
      <c r="K11" s="53"/>
      <c r="L11" s="54"/>
      <c r="M11" s="55"/>
      <c r="N11" s="55"/>
      <c r="O11" s="55"/>
      <c r="P11" s="55"/>
      <c r="Q11" s="55"/>
      <c r="R11" s="55"/>
      <c r="S11" s="55"/>
      <c r="T11" s="55"/>
      <c r="U11" s="55"/>
      <c r="V11" s="55"/>
      <c r="W11" s="55"/>
      <c r="X11" s="55"/>
      <c r="Y11" s="55"/>
      <c r="Z11" s="55"/>
      <c r="AA11" s="55"/>
      <c r="AB11" s="55"/>
      <c r="AC11" s="55"/>
      <c r="AD11" s="55"/>
      <c r="AE11" s="56"/>
    </row>
    <row r="12" ht="15" customHeight="1" spans="1:33">
      <c r="A12" s="57" t="s">
        <v>17</v>
      </c>
      <c r="B12" s="58"/>
      <c r="C12" s="58"/>
      <c r="D12" s="58"/>
      <c r="E12" s="58"/>
      <c r="F12" s="58"/>
      <c r="G12" s="58"/>
      <c r="H12" s="58"/>
      <c r="I12" s="58"/>
      <c r="J12" s="58"/>
      <c r="K12" s="59"/>
      <c r="L12" s="60" t="s">
        <v>18</v>
      </c>
      <c r="M12" s="61"/>
      <c r="N12" s="61"/>
      <c r="O12" s="61"/>
      <c r="P12" s="62"/>
      <c r="Q12" s="63" t="s">
        <v>19</v>
      </c>
      <c r="R12" s="64"/>
      <c r="S12" s="64"/>
      <c r="T12" s="64"/>
      <c r="U12" s="65"/>
      <c r="V12" s="65"/>
      <c r="W12" s="65"/>
      <c r="X12" s="65"/>
      <c r="Y12" s="65"/>
      <c r="Z12" s="65"/>
      <c r="AA12" s="65"/>
      <c r="AB12" s="65"/>
      <c r="AC12" s="65"/>
      <c r="AD12" s="65"/>
      <c r="AE12" s="66"/>
    </row>
    <row r="13" ht="15" customHeight="1" spans="1:33">
      <c r="A13" s="67" t="s">
        <v>20</v>
      </c>
      <c r="B13" s="68"/>
      <c r="C13" s="68"/>
      <c r="D13" s="68"/>
      <c r="E13" s="68"/>
      <c r="F13" s="68"/>
      <c r="G13" s="68"/>
      <c r="H13" s="68"/>
      <c r="I13" s="68"/>
      <c r="J13" s="68"/>
      <c r="K13" s="69"/>
      <c r="L13" s="70"/>
      <c r="M13" s="71"/>
      <c r="N13" s="71"/>
      <c r="O13" s="71"/>
      <c r="P13" s="72"/>
      <c r="Q13" s="73" t="s">
        <v>21</v>
      </c>
      <c r="R13" s="74"/>
      <c r="S13" s="74"/>
      <c r="T13" s="74"/>
      <c r="U13" s="75"/>
      <c r="V13" s="75"/>
      <c r="W13" s="75"/>
      <c r="X13" s="75"/>
      <c r="Y13" s="75"/>
      <c r="Z13" s="75"/>
      <c r="AA13" s="75"/>
      <c r="AB13" s="75"/>
      <c r="AC13" s="75"/>
      <c r="AD13" s="75"/>
      <c r="AE13" s="76"/>
      <c r="AG13" s="13" t="b">
        <f>IF(A13&lt;&gt;"",TRUE,FALSE)</f>
        <v>1</v>
      </c>
    </row>
    <row r="14" ht="15" customHeight="1" spans="1:33">
      <c r="A14" s="67"/>
      <c r="B14" s="68"/>
      <c r="C14" s="68"/>
      <c r="D14" s="68"/>
      <c r="E14" s="68"/>
      <c r="F14" s="68"/>
      <c r="G14" s="68"/>
      <c r="H14" s="68"/>
      <c r="I14" s="68"/>
      <c r="J14" s="68"/>
      <c r="K14" s="69"/>
      <c r="L14" s="77"/>
      <c r="M14" s="78"/>
      <c r="N14" s="78"/>
      <c r="O14" s="78"/>
      <c r="P14" s="79"/>
      <c r="Q14" s="80"/>
      <c r="R14" s="81"/>
      <c r="S14" s="81"/>
      <c r="T14" s="81"/>
      <c r="U14" s="82"/>
      <c r="V14" s="82"/>
      <c r="W14" s="82"/>
      <c r="X14" s="82"/>
      <c r="Y14" s="82"/>
      <c r="Z14" s="82"/>
      <c r="AA14" s="82"/>
      <c r="AB14" s="82"/>
      <c r="AC14" s="82"/>
      <c r="AD14" s="82"/>
      <c r="AE14" s="83"/>
      <c r="AG14" s="13" t="b">
        <f t="shared" ref="AG14:AG21" si="0">IF(A14&lt;&gt;"",TRUE,FALSE)</f>
        <v>0</v>
      </c>
    </row>
    <row r="15" ht="15" customHeight="1" spans="1:33">
      <c r="A15" s="67"/>
      <c r="B15" s="68"/>
      <c r="C15" s="68"/>
      <c r="D15" s="68"/>
      <c r="E15" s="68"/>
      <c r="F15" s="68"/>
      <c r="G15" s="68"/>
      <c r="H15" s="68"/>
      <c r="I15" s="68"/>
      <c r="J15" s="68"/>
      <c r="K15" s="69"/>
      <c r="L15" s="84" t="s">
        <v>22</v>
      </c>
      <c r="M15" s="85"/>
      <c r="N15" s="85"/>
      <c r="O15" s="86"/>
      <c r="P15" s="87" t="s">
        <v>23</v>
      </c>
      <c r="Q15" s="87" t="s">
        <v>24</v>
      </c>
      <c r="R15" s="87" t="s">
        <v>25</v>
      </c>
      <c r="S15" s="88" t="s">
        <v>26</v>
      </c>
      <c r="T15" s="88"/>
      <c r="U15" s="88"/>
      <c r="V15" s="88"/>
      <c r="W15" s="88"/>
      <c r="X15" s="88"/>
      <c r="Y15" s="88"/>
      <c r="Z15" s="88"/>
      <c r="AA15" s="88"/>
      <c r="AB15" s="88"/>
      <c r="AC15" s="88"/>
      <c r="AD15" s="88"/>
      <c r="AE15" s="88"/>
      <c r="AG15" s="13" t="b">
        <f t="shared" si="0"/>
        <v>0</v>
      </c>
    </row>
    <row r="16" ht="15" customHeight="1" spans="1:33">
      <c r="A16" s="67"/>
      <c r="B16" s="68"/>
      <c r="C16" s="68"/>
      <c r="D16" s="68"/>
      <c r="E16" s="68"/>
      <c r="F16" s="68"/>
      <c r="G16" s="68"/>
      <c r="H16" s="68"/>
      <c r="I16" s="68"/>
      <c r="J16" s="68"/>
      <c r="K16" s="69"/>
      <c r="L16" s="89"/>
      <c r="M16" s="90"/>
      <c r="N16" s="90"/>
      <c r="O16" s="91"/>
      <c r="P16" s="92"/>
      <c r="Q16" s="92"/>
      <c r="R16" s="92"/>
      <c r="S16" s="88"/>
      <c r="T16" s="88"/>
      <c r="U16" s="88"/>
      <c r="V16" s="88"/>
      <c r="W16" s="88"/>
      <c r="X16" s="88"/>
      <c r="Y16" s="88"/>
      <c r="Z16" s="88"/>
      <c r="AA16" s="88"/>
      <c r="AB16" s="88"/>
      <c r="AC16" s="88"/>
      <c r="AD16" s="88"/>
      <c r="AE16" s="88"/>
      <c r="AG16" s="13" t="b">
        <f t="shared" si="0"/>
        <v>0</v>
      </c>
    </row>
    <row r="17" ht="15" customHeight="1" spans="1:36">
      <c r="A17" s="67"/>
      <c r="B17" s="68"/>
      <c r="C17" s="68"/>
      <c r="D17" s="68"/>
      <c r="E17" s="68"/>
      <c r="F17" s="68"/>
      <c r="G17" s="68"/>
      <c r="H17" s="68"/>
      <c r="I17" s="68"/>
      <c r="J17" s="68"/>
      <c r="K17" s="69"/>
      <c r="L17" s="93" t="s">
        <v>27</v>
      </c>
      <c r="M17" s="94"/>
      <c r="N17" s="94"/>
      <c r="O17" s="95"/>
      <c r="P17" s="96"/>
      <c r="Q17" s="96" t="s">
        <v>28</v>
      </c>
      <c r="R17" s="96"/>
      <c r="S17" s="97"/>
      <c r="T17" s="19" t="s">
        <v>29</v>
      </c>
      <c r="U17" s="19"/>
      <c r="V17" s="19"/>
      <c r="W17" s="19"/>
      <c r="X17" s="19"/>
      <c r="Y17" s="19"/>
      <c r="Z17" s="19"/>
      <c r="AA17" s="19"/>
      <c r="AB17" s="19"/>
      <c r="AC17" s="19"/>
      <c r="AD17" s="19"/>
      <c r="AE17" s="20"/>
      <c r="AG17" s="13" t="b">
        <f t="shared" si="0"/>
        <v>0</v>
      </c>
      <c r="AJ17" s="13" t="b">
        <v>0</v>
      </c>
    </row>
    <row r="18" ht="15" customHeight="1" spans="1:36">
      <c r="A18" s="67"/>
      <c r="B18" s="68"/>
      <c r="C18" s="68"/>
      <c r="D18" s="68"/>
      <c r="E18" s="68"/>
      <c r="F18" s="68"/>
      <c r="G18" s="68"/>
      <c r="H18" s="68"/>
      <c r="I18" s="68"/>
      <c r="J18" s="68"/>
      <c r="K18" s="69"/>
      <c r="L18" s="98"/>
      <c r="M18" s="99"/>
      <c r="N18" s="99"/>
      <c r="O18" s="100"/>
      <c r="P18" s="101"/>
      <c r="Q18" s="101"/>
      <c r="R18" s="101"/>
      <c r="S18" s="102"/>
      <c r="T18" s="103" t="s">
        <v>30</v>
      </c>
      <c r="U18" s="103"/>
      <c r="V18" s="103"/>
      <c r="W18" s="103"/>
      <c r="X18" s="103"/>
      <c r="Y18" s="104"/>
      <c r="Z18" s="104"/>
      <c r="AA18" s="104"/>
      <c r="AB18" s="104"/>
      <c r="AC18" s="104"/>
      <c r="AD18" s="104"/>
      <c r="AE18" s="105"/>
      <c r="AG18" s="13" t="b">
        <f t="shared" si="0"/>
        <v>0</v>
      </c>
    </row>
    <row r="19" ht="15" customHeight="1" spans="1:36">
      <c r="A19" s="67"/>
      <c r="B19" s="68"/>
      <c r="C19" s="68"/>
      <c r="D19" s="68"/>
      <c r="E19" s="68"/>
      <c r="F19" s="68"/>
      <c r="G19" s="68"/>
      <c r="H19" s="68"/>
      <c r="I19" s="68"/>
      <c r="J19" s="68"/>
      <c r="K19" s="69"/>
      <c r="L19" s="93" t="s">
        <v>31</v>
      </c>
      <c r="M19" s="94"/>
      <c r="N19" s="94"/>
      <c r="O19" s="95"/>
      <c r="P19" s="96"/>
      <c r="Q19" s="96" t="s">
        <v>28</v>
      </c>
      <c r="R19" s="96"/>
      <c r="S19" s="106"/>
      <c r="T19" s="107" t="s">
        <v>32</v>
      </c>
      <c r="U19" s="107"/>
      <c r="V19" s="107"/>
      <c r="W19" s="107"/>
      <c r="X19" s="107"/>
      <c r="Y19" s="108"/>
      <c r="Z19" s="108"/>
      <c r="AA19" s="108"/>
      <c r="AB19" s="108"/>
      <c r="AC19" s="108"/>
      <c r="AD19" s="108"/>
      <c r="AE19" s="109"/>
      <c r="AG19" s="13" t="b">
        <f t="shared" si="0"/>
        <v>0</v>
      </c>
    </row>
    <row r="20" ht="15" customHeight="1" spans="1:36">
      <c r="A20" s="67"/>
      <c r="B20" s="68"/>
      <c r="C20" s="68"/>
      <c r="D20" s="68"/>
      <c r="E20" s="68"/>
      <c r="F20" s="68"/>
      <c r="G20" s="68"/>
      <c r="H20" s="68"/>
      <c r="I20" s="68"/>
      <c r="J20" s="68"/>
      <c r="K20" s="69"/>
      <c r="L20" s="98"/>
      <c r="M20" s="99"/>
      <c r="N20" s="99"/>
      <c r="O20" s="100"/>
      <c r="P20" s="101"/>
      <c r="Q20" s="101"/>
      <c r="R20" s="101"/>
      <c r="S20" s="106"/>
      <c r="T20" s="107"/>
      <c r="U20" s="107"/>
      <c r="V20" s="107"/>
      <c r="W20" s="107"/>
      <c r="X20" s="107"/>
      <c r="Y20" s="110"/>
      <c r="Z20" s="110"/>
      <c r="AA20" s="110"/>
      <c r="AB20" s="110"/>
      <c r="AC20" s="110"/>
      <c r="AD20" s="110"/>
      <c r="AE20" s="111"/>
      <c r="AG20" s="13" t="b">
        <f t="shared" si="0"/>
        <v>0</v>
      </c>
    </row>
    <row r="21" ht="15" customHeight="1" spans="1:36">
      <c r="A21" s="112"/>
      <c r="B21" s="113"/>
      <c r="C21" s="113"/>
      <c r="D21" s="113"/>
      <c r="E21" s="113"/>
      <c r="F21" s="113"/>
      <c r="G21" s="113"/>
      <c r="H21" s="113"/>
      <c r="I21" s="113"/>
      <c r="J21" s="113"/>
      <c r="K21" s="114"/>
      <c r="L21" s="84" t="s">
        <v>33</v>
      </c>
      <c r="M21" s="85"/>
      <c r="N21" s="85"/>
      <c r="O21" s="85"/>
      <c r="P21" s="85"/>
      <c r="Q21" s="85"/>
      <c r="R21" s="86"/>
      <c r="S21" s="106"/>
      <c r="T21" s="115" t="s">
        <v>34</v>
      </c>
      <c r="U21" s="116"/>
      <c r="V21" s="116"/>
      <c r="W21" s="116"/>
      <c r="X21" s="116"/>
      <c r="Y21" s="117"/>
      <c r="Z21" s="117"/>
      <c r="AA21" s="117"/>
      <c r="AB21" s="117"/>
      <c r="AC21" s="117"/>
      <c r="AD21" s="117"/>
      <c r="AE21" s="118"/>
      <c r="AG21" s="13" t="b">
        <f t="shared" si="0"/>
        <v>0</v>
      </c>
    </row>
    <row r="22" ht="15" customHeight="1" spans="1:36">
      <c r="A22" s="44" t="s">
        <v>35</v>
      </c>
      <c r="B22" s="45"/>
      <c r="C22" s="45"/>
      <c r="D22" s="45"/>
      <c r="E22" s="119"/>
      <c r="F22" s="119"/>
      <c r="G22" s="119"/>
      <c r="H22" s="119"/>
      <c r="I22" s="119"/>
      <c r="J22" s="119"/>
      <c r="K22" s="120"/>
      <c r="L22" s="121"/>
      <c r="M22" s="122"/>
      <c r="N22" s="122"/>
      <c r="O22" s="122"/>
      <c r="P22" s="122"/>
      <c r="Q22" s="122"/>
      <c r="R22" s="123"/>
      <c r="S22" s="106"/>
      <c r="T22" s="116"/>
      <c r="U22" s="116"/>
      <c r="V22" s="116"/>
      <c r="W22" s="116"/>
      <c r="X22" s="116"/>
      <c r="Y22" s="124"/>
      <c r="Z22" s="124"/>
      <c r="AA22" s="124"/>
      <c r="AB22" s="124"/>
      <c r="AC22" s="124"/>
      <c r="AD22" s="124"/>
      <c r="AE22" s="125"/>
    </row>
    <row r="23" ht="15" customHeight="1" spans="1:36">
      <c r="A23" s="126" t="s">
        <v>12</v>
      </c>
      <c r="B23" s="127"/>
      <c r="C23" s="127"/>
      <c r="D23" s="127"/>
      <c r="E23" s="46"/>
      <c r="F23" s="46"/>
      <c r="G23" s="46"/>
      <c r="H23" s="46"/>
      <c r="I23" s="46"/>
      <c r="J23" s="46"/>
      <c r="K23" s="47"/>
      <c r="L23" s="128" t="s">
        <v>36</v>
      </c>
      <c r="M23" s="129"/>
      <c r="N23" s="129"/>
      <c r="O23" s="130"/>
      <c r="P23" s="131" t="s">
        <v>37</v>
      </c>
      <c r="Q23" s="132" t="s">
        <v>38</v>
      </c>
      <c r="R23" s="133"/>
      <c r="S23" s="106"/>
      <c r="T23" s="116" t="s">
        <v>39</v>
      </c>
      <c r="U23" s="116"/>
      <c r="V23" s="116"/>
      <c r="W23" s="116"/>
      <c r="X23" s="116"/>
      <c r="Y23" s="134"/>
      <c r="Z23" s="134"/>
      <c r="AA23" s="134"/>
      <c r="AB23" s="134"/>
      <c r="AC23" s="134"/>
      <c r="AD23" s="134"/>
      <c r="AE23" s="135"/>
    </row>
    <row r="24" ht="15" customHeight="1" spans="1:36">
      <c r="A24" s="18" t="s">
        <v>40</v>
      </c>
      <c r="B24" s="19"/>
      <c r="C24" s="19"/>
      <c r="D24" s="19"/>
      <c r="E24" s="19"/>
      <c r="F24" s="19"/>
      <c r="G24" s="19"/>
      <c r="H24" s="19"/>
      <c r="I24" s="19"/>
      <c r="J24" s="19"/>
      <c r="K24" s="20"/>
      <c r="L24" s="136" t="s">
        <v>41</v>
      </c>
      <c r="M24" s="137"/>
      <c r="N24" s="137"/>
      <c r="O24" s="137"/>
      <c r="P24" s="137"/>
      <c r="Q24" s="137"/>
      <c r="R24" s="138"/>
      <c r="S24" s="106"/>
      <c r="T24" s="116"/>
      <c r="U24" s="116"/>
      <c r="V24" s="116"/>
      <c r="W24" s="116"/>
      <c r="X24" s="116"/>
      <c r="Y24" s="139"/>
      <c r="Z24" s="139"/>
      <c r="AA24" s="139"/>
      <c r="AB24" s="139"/>
      <c r="AC24" s="139"/>
      <c r="AD24" s="139"/>
      <c r="AE24" s="140"/>
    </row>
    <row r="25" ht="15" customHeight="1" spans="1:36">
      <c r="A25" s="141"/>
      <c r="B25" s="142"/>
      <c r="C25" s="142"/>
      <c r="D25" s="142"/>
      <c r="E25" s="142"/>
      <c r="F25" s="142"/>
      <c r="G25" s="142"/>
      <c r="H25" s="142"/>
      <c r="I25" s="142"/>
      <c r="J25" s="142"/>
      <c r="K25" s="143"/>
      <c r="L25" s="102"/>
      <c r="M25" s="103" t="s">
        <v>42</v>
      </c>
      <c r="N25" s="103"/>
      <c r="O25" s="103"/>
      <c r="P25" s="144" t="s">
        <v>43</v>
      </c>
      <c r="Q25" s="144"/>
      <c r="R25" s="144"/>
      <c r="S25" s="106"/>
      <c r="T25" s="145"/>
      <c r="U25" s="145"/>
      <c r="V25" s="145"/>
      <c r="W25" s="145"/>
      <c r="X25" s="145"/>
      <c r="Y25" s="146"/>
      <c r="Z25" s="146"/>
      <c r="AA25" s="146"/>
      <c r="AB25" s="146"/>
      <c r="AC25" s="146"/>
      <c r="AD25" s="146"/>
      <c r="AE25" s="147"/>
      <c r="AG25" s="13" t="b">
        <v>0</v>
      </c>
      <c r="AH25" s="13" t="b">
        <v>1</v>
      </c>
      <c r="AI25" s="13" t="b">
        <v>0</v>
      </c>
    </row>
    <row r="26" ht="15" customHeight="1" spans="1:36">
      <c r="A26" s="141"/>
      <c r="B26" s="142"/>
      <c r="C26" s="142"/>
      <c r="D26" s="142"/>
      <c r="E26" s="142"/>
      <c r="F26" s="142"/>
      <c r="G26" s="142"/>
      <c r="H26" s="142"/>
      <c r="I26" s="142"/>
      <c r="J26" s="142"/>
      <c r="K26" s="143"/>
      <c r="L26" s="102"/>
      <c r="M26" s="103" t="s">
        <v>44</v>
      </c>
      <c r="N26" s="103"/>
      <c r="O26" s="103"/>
      <c r="P26" s="103" t="s">
        <v>45</v>
      </c>
      <c r="Q26" s="103"/>
      <c r="R26" s="103"/>
      <c r="S26" s="148"/>
      <c r="T26" s="145"/>
      <c r="U26" s="145"/>
      <c r="V26" s="145"/>
      <c r="W26" s="145"/>
      <c r="X26" s="145"/>
      <c r="Y26" s="149"/>
      <c r="Z26" s="149"/>
      <c r="AA26" s="149"/>
      <c r="AB26" s="149"/>
      <c r="AC26" s="149"/>
      <c r="AD26" s="149"/>
      <c r="AE26" s="150"/>
    </row>
    <row r="27" ht="15" spans="1:36">
      <c r="A27" s="141"/>
      <c r="B27" s="142"/>
      <c r="C27" s="142"/>
      <c r="D27" s="142"/>
      <c r="E27" s="142"/>
      <c r="F27" s="142"/>
      <c r="G27" s="142"/>
      <c r="H27" s="142"/>
      <c r="I27" s="142"/>
      <c r="J27" s="142"/>
      <c r="K27" s="143"/>
      <c r="L27" s="102"/>
      <c r="M27" s="103" t="s">
        <v>46</v>
      </c>
      <c r="N27" s="103"/>
      <c r="O27" s="103"/>
      <c r="P27" s="103"/>
      <c r="Q27" s="103"/>
      <c r="R27" s="103"/>
      <c r="S27" s="148"/>
      <c r="T27" s="151"/>
      <c r="U27" s="151"/>
      <c r="V27" s="151"/>
      <c r="W27" s="151"/>
      <c r="X27" s="151"/>
      <c r="Y27" s="151"/>
      <c r="Z27" s="151"/>
      <c r="AA27" s="151"/>
      <c r="AB27" s="151"/>
      <c r="AC27" s="151"/>
      <c r="AD27" s="151"/>
      <c r="AE27" s="152"/>
    </row>
    <row r="28" spans="1:36">
      <c r="A28" s="153"/>
      <c r="B28" s="154"/>
      <c r="C28" s="154"/>
      <c r="D28" s="154"/>
      <c r="E28" s="154"/>
      <c r="F28" s="154"/>
      <c r="G28" s="154"/>
      <c r="H28" s="154"/>
      <c r="I28" s="154"/>
      <c r="J28" s="154"/>
      <c r="K28" s="155"/>
      <c r="L28" s="102"/>
      <c r="M28" s="156"/>
      <c r="N28" s="156"/>
      <c r="O28" s="156"/>
      <c r="P28" s="156"/>
      <c r="Q28" s="156"/>
      <c r="R28" s="157"/>
      <c r="S28" s="148"/>
      <c r="T28" s="30"/>
      <c r="U28" s="30"/>
      <c r="V28" s="30"/>
      <c r="W28" s="30"/>
      <c r="X28" s="30"/>
      <c r="Y28" s="30"/>
      <c r="Z28" s="30"/>
      <c r="AA28" s="30"/>
      <c r="AB28" s="30"/>
      <c r="AC28" s="30"/>
      <c r="AD28" s="30"/>
      <c r="AE28" s="158"/>
    </row>
    <row r="29" ht="15" customHeight="1" spans="1:36">
      <c r="A29" s="153"/>
      <c r="B29" s="154"/>
      <c r="C29" s="154"/>
      <c r="D29" s="154"/>
      <c r="E29" s="154"/>
      <c r="F29" s="154"/>
      <c r="G29" s="154"/>
      <c r="H29" s="154"/>
      <c r="I29" s="154"/>
      <c r="J29" s="154"/>
      <c r="K29" s="155"/>
      <c r="L29" s="159" t="s">
        <v>47</v>
      </c>
      <c r="M29" s="160"/>
      <c r="N29" s="160"/>
      <c r="O29" s="160"/>
      <c r="P29" s="160"/>
      <c r="Q29" s="160"/>
      <c r="R29" s="161"/>
      <c r="S29" s="148"/>
      <c r="T29" s="162" t="s">
        <v>48</v>
      </c>
      <c r="U29" s="162"/>
      <c r="V29" s="162"/>
      <c r="W29" s="162"/>
      <c r="X29" s="162"/>
      <c r="Y29" s="162"/>
      <c r="Z29" s="162"/>
      <c r="AA29" s="162"/>
      <c r="AB29" s="162"/>
      <c r="AC29" s="162"/>
      <c r="AD29" s="162"/>
      <c r="AE29" s="163"/>
      <c r="AI29" s="13" t="b">
        <v>0</v>
      </c>
    </row>
    <row r="30" ht="15" customHeight="1" spans="1:36">
      <c r="A30" s="153"/>
      <c r="B30" s="154"/>
      <c r="C30" s="154"/>
      <c r="D30" s="154"/>
      <c r="E30" s="154"/>
      <c r="F30" s="154"/>
      <c r="G30" s="154"/>
      <c r="H30" s="154"/>
      <c r="I30" s="154"/>
      <c r="J30" s="154"/>
      <c r="K30" s="155"/>
      <c r="L30" s="159" t="s">
        <v>49</v>
      </c>
      <c r="M30" s="160"/>
      <c r="N30" s="160"/>
      <c r="O30" s="160"/>
      <c r="P30" s="160"/>
      <c r="Q30" s="160"/>
      <c r="R30" s="161"/>
      <c r="S30" s="106"/>
      <c r="T30" s="164" t="s">
        <v>30</v>
      </c>
      <c r="U30" s="164"/>
      <c r="V30" s="164"/>
      <c r="W30" s="164"/>
      <c r="X30" s="164"/>
      <c r="Y30" s="165">
        <v>46016</v>
      </c>
      <c r="Z30" s="166"/>
      <c r="AA30" s="166"/>
      <c r="AB30" s="166"/>
      <c r="AC30" s="166"/>
      <c r="AD30" s="166"/>
      <c r="AE30" s="167"/>
    </row>
    <row r="31" ht="15" customHeight="1" spans="1:36">
      <c r="A31" s="168"/>
      <c r="B31" s="46"/>
      <c r="C31" s="46"/>
      <c r="D31" s="46"/>
      <c r="E31" s="46"/>
      <c r="F31" s="46"/>
      <c r="G31" s="46"/>
      <c r="H31" s="46"/>
      <c r="I31" s="46"/>
      <c r="J31" s="46"/>
      <c r="K31" s="47"/>
      <c r="L31" s="169"/>
      <c r="M31" s="170"/>
      <c r="N31" s="170"/>
      <c r="O31" s="170"/>
      <c r="P31" s="170"/>
      <c r="Q31" s="170"/>
      <c r="R31" s="170"/>
      <c r="S31" s="106"/>
      <c r="T31" s="171" t="s">
        <v>50</v>
      </c>
      <c r="U31" s="171"/>
      <c r="V31" s="171"/>
      <c r="W31" s="171"/>
      <c r="X31" s="171"/>
      <c r="Y31" s="171"/>
      <c r="Z31" s="171"/>
      <c r="AA31" s="171"/>
      <c r="AB31" s="171"/>
      <c r="AC31" s="171"/>
      <c r="AD31" s="171"/>
      <c r="AE31" s="172"/>
    </row>
    <row r="32" ht="15" customHeight="1" spans="1:36">
      <c r="A32" s="44" t="s">
        <v>51</v>
      </c>
      <c r="B32" s="45"/>
      <c r="C32" s="45"/>
      <c r="D32" s="45"/>
      <c r="E32" s="46"/>
      <c r="F32" s="46"/>
      <c r="G32" s="46"/>
      <c r="H32" s="46"/>
      <c r="I32" s="46"/>
      <c r="J32" s="46"/>
      <c r="K32" s="47"/>
      <c r="L32" s="84" t="s">
        <v>52</v>
      </c>
      <c r="M32" s="85"/>
      <c r="N32" s="85"/>
      <c r="O32" s="85"/>
      <c r="P32" s="85"/>
      <c r="Q32" s="85"/>
      <c r="R32" s="85"/>
      <c r="S32" s="106"/>
      <c r="T32" s="173" t="s">
        <v>53</v>
      </c>
      <c r="U32" s="173"/>
      <c r="V32" s="173"/>
      <c r="W32" s="173"/>
      <c r="X32" s="173"/>
      <c r="Y32" s="173"/>
      <c r="Z32" s="173"/>
      <c r="AA32" s="173"/>
      <c r="AB32" s="173"/>
      <c r="AC32" s="173"/>
      <c r="AD32" s="173"/>
      <c r="AE32" s="174"/>
      <c r="AG32" s="13" t="b">
        <f>IF(T32&lt;&gt;"",TRUE,FALSE)</f>
        <v>1</v>
      </c>
    </row>
    <row r="33" ht="15" customHeight="1" spans="1:39">
      <c r="A33" s="126" t="s">
        <v>12</v>
      </c>
      <c r="B33" s="127"/>
      <c r="C33" s="127"/>
      <c r="D33" s="127"/>
      <c r="E33" s="175"/>
      <c r="F33" s="175"/>
      <c r="G33" s="175"/>
      <c r="H33" s="175"/>
      <c r="I33" s="175"/>
      <c r="J33" s="175"/>
      <c r="K33" s="176"/>
      <c r="L33" s="177"/>
      <c r="M33" s="178"/>
      <c r="N33" s="178"/>
      <c r="O33" s="178"/>
      <c r="P33" s="178"/>
      <c r="Q33" s="178"/>
      <c r="R33" s="178"/>
      <c r="S33" s="102"/>
      <c r="T33" s="173"/>
      <c r="U33" s="173"/>
      <c r="V33" s="173"/>
      <c r="W33" s="173"/>
      <c r="X33" s="173"/>
      <c r="Y33" s="173"/>
      <c r="Z33" s="173"/>
      <c r="AA33" s="173"/>
      <c r="AB33" s="173"/>
      <c r="AC33" s="173"/>
      <c r="AD33" s="173"/>
      <c r="AE33" s="174"/>
      <c r="AG33" s="13" t="b">
        <f>IF(T33&lt;&gt;"",TRUE,FALSE)</f>
        <v>0</v>
      </c>
    </row>
    <row r="34" spans="1:39">
      <c r="A34" s="18" t="s">
        <v>54</v>
      </c>
      <c r="B34" s="179"/>
      <c r="C34" s="179"/>
      <c r="D34" s="179"/>
      <c r="E34" s="18" t="s">
        <v>55</v>
      </c>
      <c r="F34" s="19"/>
      <c r="G34" s="19"/>
      <c r="H34" s="19"/>
      <c r="I34" s="19"/>
      <c r="J34" s="19"/>
      <c r="K34" s="19"/>
      <c r="L34" s="18" t="s">
        <v>56</v>
      </c>
      <c r="M34" s="19"/>
      <c r="N34" s="19"/>
      <c r="O34" s="19"/>
      <c r="P34" s="19"/>
      <c r="Q34" s="19"/>
      <c r="R34" s="19"/>
      <c r="S34" s="180"/>
      <c r="T34" s="173"/>
      <c r="U34" s="173"/>
      <c r="V34" s="173"/>
      <c r="W34" s="173"/>
      <c r="X34" s="173"/>
      <c r="Y34" s="173"/>
      <c r="Z34" s="173"/>
      <c r="AA34" s="173"/>
      <c r="AB34" s="173"/>
      <c r="AC34" s="173"/>
      <c r="AD34" s="173"/>
      <c r="AE34" s="174"/>
      <c r="AG34" s="13" t="b">
        <f>IF(T34&lt;&gt;"",TRUE,FALSE)</f>
        <v>0</v>
      </c>
    </row>
    <row r="35" spans="1:39">
      <c r="A35" s="181" t="s">
        <v>57</v>
      </c>
      <c r="B35" s="182"/>
      <c r="C35" s="182"/>
      <c r="D35" s="183"/>
      <c r="E35" s="181" t="s">
        <v>57</v>
      </c>
      <c r="F35" s="182"/>
      <c r="G35" s="182"/>
      <c r="H35" s="182"/>
      <c r="I35" s="182"/>
      <c r="J35" s="182"/>
      <c r="K35" s="183"/>
      <c r="L35" s="184" t="s">
        <v>58</v>
      </c>
      <c r="M35" s="185"/>
      <c r="N35" s="185"/>
      <c r="O35" s="185"/>
      <c r="P35" s="185"/>
      <c r="Q35" s="185"/>
      <c r="R35" s="186"/>
      <c r="S35" s="180"/>
      <c r="T35" s="187"/>
      <c r="U35" s="187"/>
      <c r="V35" s="187"/>
      <c r="W35" s="187"/>
      <c r="X35" s="187"/>
      <c r="Y35" s="187"/>
      <c r="Z35" s="187"/>
      <c r="AA35" s="187"/>
      <c r="AB35" s="187"/>
      <c r="AC35" s="187"/>
      <c r="AD35" s="187"/>
      <c r="AE35" s="188"/>
      <c r="AG35" s="13" t="b">
        <f>IF(T35&lt;&gt;"",TRUE,FALSE)</f>
        <v>0</v>
      </c>
    </row>
    <row r="36" ht="15" customHeight="1" spans="1:39">
      <c r="A36" s="189"/>
      <c r="B36" s="190"/>
      <c r="C36" s="190"/>
      <c r="D36" s="191"/>
      <c r="E36" s="189"/>
      <c r="F36" s="190"/>
      <c r="G36" s="190"/>
      <c r="H36" s="190"/>
      <c r="I36" s="190"/>
      <c r="J36" s="190"/>
      <c r="K36" s="191"/>
      <c r="L36" s="192"/>
      <c r="M36" s="193"/>
      <c r="N36" s="193"/>
      <c r="O36" s="193"/>
      <c r="P36" s="193"/>
      <c r="Q36" s="193"/>
      <c r="R36" s="194"/>
      <c r="S36" s="195"/>
      <c r="T36" s="196"/>
      <c r="U36" s="196"/>
      <c r="V36" s="196"/>
      <c r="W36" s="196"/>
      <c r="X36" s="196"/>
      <c r="Y36" s="196"/>
      <c r="Z36" s="196"/>
      <c r="AA36" s="196"/>
      <c r="AB36" s="196"/>
      <c r="AC36" s="196"/>
      <c r="AD36" s="196"/>
      <c r="AE36" s="197"/>
      <c r="AG36" s="13" t="b">
        <f>IF(T36&lt;&gt;"",TRUE,FALSE)</f>
        <v>0</v>
      </c>
    </row>
    <row r="37" ht="12" customHeight="1" spans="1:39">
      <c r="A37" s="198" t="s">
        <v>59</v>
      </c>
      <c r="B37" s="198"/>
      <c r="C37" s="198"/>
      <c r="D37" s="198"/>
      <c r="E37" s="198" t="s">
        <v>60</v>
      </c>
      <c r="F37" s="198"/>
      <c r="G37" s="198"/>
      <c r="H37" s="198"/>
      <c r="I37" s="198"/>
      <c r="J37" s="198"/>
      <c r="K37" s="198"/>
      <c r="L37" s="198"/>
      <c r="M37" s="198"/>
      <c r="N37" s="198"/>
      <c r="O37" s="198"/>
      <c r="P37" s="198"/>
      <c r="Q37" s="198"/>
      <c r="R37" s="198"/>
      <c r="S37" s="199" t="s">
        <v>61</v>
      </c>
      <c r="T37" s="200"/>
      <c r="U37" s="200"/>
      <c r="V37" s="201"/>
      <c r="W37" s="93" t="s">
        <v>62</v>
      </c>
      <c r="X37" s="94"/>
      <c r="Y37" s="95"/>
      <c r="Z37" s="202" t="s">
        <v>63</v>
      </c>
      <c r="AA37" s="202"/>
      <c r="AB37" s="202"/>
      <c r="AC37" s="202"/>
      <c r="AD37" s="202"/>
      <c r="AE37" s="203"/>
    </row>
    <row r="38" ht="8.25" customHeight="1" spans="1:39">
      <c r="A38" s="198"/>
      <c r="B38" s="198"/>
      <c r="C38" s="198"/>
      <c r="D38" s="198"/>
      <c r="E38" s="198"/>
      <c r="F38" s="198"/>
      <c r="G38" s="198"/>
      <c r="H38" s="198"/>
      <c r="I38" s="198"/>
      <c r="J38" s="198"/>
      <c r="K38" s="198"/>
      <c r="L38" s="198"/>
      <c r="M38" s="198"/>
      <c r="N38" s="198"/>
      <c r="O38" s="198"/>
      <c r="P38" s="198"/>
      <c r="Q38" s="198"/>
      <c r="R38" s="198"/>
      <c r="S38" s="199"/>
      <c r="T38" s="200"/>
      <c r="U38" s="200"/>
      <c r="V38" s="201"/>
      <c r="W38" s="204"/>
      <c r="X38" s="205"/>
      <c r="Y38" s="206"/>
      <c r="Z38" s="203"/>
      <c r="AA38" s="203"/>
      <c r="AB38" s="203"/>
      <c r="AC38" s="203"/>
      <c r="AD38" s="203"/>
      <c r="AE38" s="203"/>
    </row>
    <row r="39" spans="1:39">
      <c r="A39" s="198"/>
      <c r="B39" s="198"/>
      <c r="C39" s="198"/>
      <c r="D39" s="198"/>
      <c r="E39" s="198"/>
      <c r="F39" s="198"/>
      <c r="G39" s="198"/>
      <c r="H39" s="198"/>
      <c r="I39" s="198"/>
      <c r="J39" s="198"/>
      <c r="K39" s="198"/>
      <c r="L39" s="198"/>
      <c r="M39" s="198"/>
      <c r="N39" s="198"/>
      <c r="O39" s="198"/>
      <c r="P39" s="198"/>
      <c r="Q39" s="198"/>
      <c r="R39" s="198"/>
      <c r="S39" s="207" t="s">
        <v>64</v>
      </c>
      <c r="T39" s="207"/>
      <c r="U39" s="207" t="s">
        <v>65</v>
      </c>
      <c r="V39" s="207" t="s">
        <v>66</v>
      </c>
      <c r="W39" s="98"/>
      <c r="X39" s="99"/>
      <c r="Y39" s="100"/>
      <c r="Z39" s="208" t="s">
        <v>67</v>
      </c>
      <c r="AA39" s="208" t="s">
        <v>68</v>
      </c>
      <c r="AB39" s="208" t="s">
        <v>69</v>
      </c>
      <c r="AC39" s="208" t="s">
        <v>70</v>
      </c>
      <c r="AD39" s="209" t="s">
        <v>71</v>
      </c>
      <c r="AE39" s="210"/>
    </row>
    <row r="40" ht="15.75" customHeight="1" spans="1:39">
      <c r="A40" s="211"/>
      <c r="B40" s="173"/>
      <c r="C40" s="173"/>
      <c r="D40" s="173"/>
      <c r="E40" s="212"/>
      <c r="F40" s="213"/>
      <c r="G40" s="213"/>
      <c r="H40" s="213"/>
      <c r="I40" s="213"/>
      <c r="J40" s="213"/>
      <c r="K40" s="213"/>
      <c r="L40" s="213"/>
      <c r="M40" s="213"/>
      <c r="N40" s="213"/>
      <c r="O40" s="213"/>
      <c r="P40" s="213"/>
      <c r="Q40" s="213"/>
      <c r="R40" s="214"/>
      <c r="S40" s="215"/>
      <c r="T40" s="216"/>
      <c r="U40" s="119"/>
      <c r="V40" s="217"/>
      <c r="W40" s="215"/>
      <c r="X40" s="216"/>
      <c r="Y40" s="217"/>
      <c r="Z40" s="218"/>
      <c r="AA40" s="119"/>
      <c r="AB40" s="218"/>
      <c r="AC40" s="119"/>
      <c r="AD40" s="219"/>
      <c r="AE40" s="220"/>
      <c r="AG40" s="13" t="b">
        <f t="shared" ref="AG40:AG53" si="1">IF(A40&lt;&gt;"",TRUE,FALSE)</f>
        <v>0</v>
      </c>
      <c r="AH40" s="13" t="b">
        <f t="shared" ref="AH40:AH53" si="2">IF(E40&lt;&gt;"",TRUE,FALSE)</f>
        <v>0</v>
      </c>
      <c r="AI40" s="13" t="b">
        <f t="shared" ref="AI40:AI53" si="3">IF(S40&lt;&gt;"",TRUE,FALSE)</f>
        <v>0</v>
      </c>
      <c r="AJ40" s="13" t="b">
        <f t="shared" ref="AJ40:AJ53" si="4">IF(W40&lt;&gt;"",TRUE,FALSE)</f>
        <v>0</v>
      </c>
      <c r="AK40" s="13" t="b">
        <f t="shared" ref="AK40:AK53" si="5">IF(Z40&lt;&gt;"",TRUE,FALSE)</f>
        <v>0</v>
      </c>
      <c r="AL40" s="13">
        <f>IF(AC40="MM",0.01,IF(AC40="CM",1,IF(AC40="M",100,0)))</f>
        <v>0</v>
      </c>
      <c r="AM40" s="221"/>
    </row>
    <row r="41" ht="15.75" customHeight="1" spans="1:39">
      <c r="A41" s="211"/>
      <c r="B41" s="173"/>
      <c r="C41" s="173"/>
      <c r="D41" s="173"/>
      <c r="E41" s="212"/>
      <c r="F41" s="213"/>
      <c r="G41" s="213"/>
      <c r="H41" s="213"/>
      <c r="I41" s="213"/>
      <c r="J41" s="213"/>
      <c r="K41" s="213"/>
      <c r="L41" s="213"/>
      <c r="M41" s="213"/>
      <c r="N41" s="213"/>
      <c r="O41" s="213"/>
      <c r="P41" s="213"/>
      <c r="Q41" s="213"/>
      <c r="R41" s="214"/>
      <c r="S41" s="215"/>
      <c r="T41" s="216"/>
      <c r="U41" s="119"/>
      <c r="V41" s="217"/>
      <c r="W41" s="215"/>
      <c r="X41" s="216"/>
      <c r="Y41" s="217"/>
      <c r="Z41" s="218"/>
      <c r="AA41" s="119"/>
      <c r="AB41" s="218"/>
      <c r="AC41" s="119"/>
      <c r="AD41" s="219"/>
      <c r="AE41" s="220"/>
      <c r="AG41" s="13" t="b">
        <f t="shared" si="1"/>
        <v>0</v>
      </c>
      <c r="AH41" s="13" t="b">
        <f t="shared" si="2"/>
        <v>0</v>
      </c>
      <c r="AI41" s="13" t="b">
        <f t="shared" si="3"/>
        <v>0</v>
      </c>
      <c r="AJ41" s="13" t="b">
        <f t="shared" si="4"/>
        <v>0</v>
      </c>
      <c r="AK41" s="13" t="b">
        <f t="shared" si="5"/>
        <v>0</v>
      </c>
      <c r="AL41" s="13">
        <f t="shared" ref="AL41:AL53" si="6">IF(AC41="MM",0.01,IF(AC41="CM",1,IF(AC41="M",100,0)))</f>
        <v>0</v>
      </c>
    </row>
    <row r="42" ht="15.75" customHeight="1" spans="1:39">
      <c r="A42" s="211">
        <v>680610</v>
      </c>
      <c r="B42" s="173"/>
      <c r="C42" s="173"/>
      <c r="D42" s="173"/>
      <c r="E42" s="212" t="s">
        <v>72</v>
      </c>
      <c r="F42" s="213"/>
      <c r="G42" s="213"/>
      <c r="H42" s="213"/>
      <c r="I42" s="213"/>
      <c r="J42" s="213"/>
      <c r="K42" s="213"/>
      <c r="L42" s="213"/>
      <c r="M42" s="213"/>
      <c r="N42" s="213"/>
      <c r="O42" s="213"/>
      <c r="P42" s="213"/>
      <c r="Q42" s="213"/>
      <c r="R42" s="214"/>
      <c r="S42" s="215">
        <v>2</v>
      </c>
      <c r="T42" s="216"/>
      <c r="U42" s="119" t="s">
        <v>73</v>
      </c>
      <c r="V42" s="217">
        <v>6</v>
      </c>
      <c r="W42" s="215">
        <v>259.5</v>
      </c>
      <c r="X42" s="216"/>
      <c r="Y42" s="217"/>
      <c r="Z42" s="222">
        <v>1.3</v>
      </c>
      <c r="AA42" s="222">
        <v>1</v>
      </c>
      <c r="AB42" s="222">
        <v>1.42</v>
      </c>
      <c r="AC42" s="119" t="s">
        <v>74</v>
      </c>
      <c r="AD42" s="219"/>
      <c r="AE42" s="220"/>
      <c r="AG42" s="13" t="b">
        <f t="shared" si="1"/>
        <v>1</v>
      </c>
      <c r="AH42" s="13" t="b">
        <f t="shared" si="2"/>
        <v>1</v>
      </c>
      <c r="AI42" s="13" t="b">
        <f t="shared" si="3"/>
        <v>1</v>
      </c>
      <c r="AJ42" s="13" t="b">
        <f t="shared" si="4"/>
        <v>1</v>
      </c>
      <c r="AK42" s="13" t="b">
        <f t="shared" si="5"/>
        <v>1</v>
      </c>
      <c r="AL42" s="13">
        <f t="shared" si="6"/>
        <v>100</v>
      </c>
    </row>
    <row r="43" spans="1:39">
      <c r="A43" s="211">
        <v>680610</v>
      </c>
      <c r="B43" s="173"/>
      <c r="C43" s="173"/>
      <c r="D43" s="173"/>
      <c r="E43" s="212" t="s">
        <v>72</v>
      </c>
      <c r="F43" s="213"/>
      <c r="G43" s="213"/>
      <c r="H43" s="213"/>
      <c r="I43" s="213"/>
      <c r="J43" s="213"/>
      <c r="K43" s="213"/>
      <c r="L43" s="213"/>
      <c r="M43" s="213"/>
      <c r="N43" s="213"/>
      <c r="O43" s="213"/>
      <c r="P43" s="213"/>
      <c r="Q43" s="213"/>
      <c r="R43" s="214"/>
      <c r="S43" s="215">
        <v>3</v>
      </c>
      <c r="T43" s="216"/>
      <c r="U43" s="119" t="s">
        <v>73</v>
      </c>
      <c r="V43" s="217">
        <v>4</v>
      </c>
      <c r="W43" s="215">
        <v>400</v>
      </c>
      <c r="X43" s="216"/>
      <c r="Y43" s="217"/>
      <c r="Z43" s="222">
        <v>1.3</v>
      </c>
      <c r="AA43" s="222">
        <v>1.15</v>
      </c>
      <c r="AB43" s="222">
        <v>1.25</v>
      </c>
      <c r="AC43" s="119" t="s">
        <v>74</v>
      </c>
      <c r="AD43" s="219"/>
      <c r="AE43" s="220"/>
      <c r="AG43" s="13" t="b">
        <f t="shared" si="1"/>
        <v>1</v>
      </c>
      <c r="AH43" s="13" t="b">
        <f t="shared" si="2"/>
        <v>1</v>
      </c>
      <c r="AI43" s="13" t="b">
        <f t="shared" si="3"/>
        <v>1</v>
      </c>
      <c r="AJ43" s="13" t="b">
        <f t="shared" si="4"/>
        <v>1</v>
      </c>
      <c r="AK43" s="13" t="b">
        <f t="shared" si="5"/>
        <v>1</v>
      </c>
      <c r="AL43" s="13">
        <f t="shared" si="6"/>
        <v>100</v>
      </c>
    </row>
    <row r="44" spans="1:39">
      <c r="A44" s="211"/>
      <c r="B44" s="173"/>
      <c r="C44" s="173"/>
      <c r="D44" s="173"/>
      <c r="E44" s="211"/>
      <c r="F44" s="173"/>
      <c r="G44" s="173"/>
      <c r="H44" s="173"/>
      <c r="I44" s="173"/>
      <c r="J44" s="173"/>
      <c r="K44" s="173"/>
      <c r="L44" s="173"/>
      <c r="M44" s="173"/>
      <c r="N44" s="173"/>
      <c r="O44" s="173"/>
      <c r="P44" s="173"/>
      <c r="Q44" s="173"/>
      <c r="R44" s="174"/>
      <c r="S44" s="223"/>
      <c r="T44" s="119"/>
      <c r="U44" s="119"/>
      <c r="V44" s="120"/>
      <c r="W44" s="223"/>
      <c r="X44" s="119"/>
      <c r="Y44" s="120"/>
      <c r="Z44" s="224"/>
      <c r="AA44" s="119"/>
      <c r="AB44" s="224"/>
      <c r="AC44" s="119"/>
      <c r="AD44" s="219"/>
      <c r="AE44" s="220"/>
      <c r="AG44" s="13" t="b">
        <f t="shared" si="1"/>
        <v>0</v>
      </c>
      <c r="AH44" s="13" t="b">
        <f t="shared" si="2"/>
        <v>0</v>
      </c>
      <c r="AI44" s="13" t="b">
        <f t="shared" si="3"/>
        <v>0</v>
      </c>
      <c r="AJ44" s="13" t="b">
        <f t="shared" si="4"/>
        <v>0</v>
      </c>
      <c r="AK44" s="13" t="b">
        <f t="shared" si="5"/>
        <v>0</v>
      </c>
      <c r="AL44" s="13">
        <f t="shared" si="6"/>
        <v>0</v>
      </c>
    </row>
    <row r="45" spans="1:39">
      <c r="A45" s="211"/>
      <c r="B45" s="173"/>
      <c r="C45" s="173"/>
      <c r="D45" s="173"/>
      <c r="E45" s="211"/>
      <c r="F45" s="173"/>
      <c r="G45" s="173"/>
      <c r="H45" s="173"/>
      <c r="I45" s="173"/>
      <c r="J45" s="173"/>
      <c r="K45" s="173"/>
      <c r="L45" s="173"/>
      <c r="M45" s="173"/>
      <c r="N45" s="173"/>
      <c r="O45" s="173"/>
      <c r="P45" s="173"/>
      <c r="Q45" s="173"/>
      <c r="R45" s="174"/>
      <c r="S45" s="223"/>
      <c r="T45" s="119"/>
      <c r="U45" s="119"/>
      <c r="V45" s="120"/>
      <c r="W45" s="223"/>
      <c r="X45" s="119"/>
      <c r="Y45" s="120"/>
      <c r="Z45" s="224"/>
      <c r="AA45" s="119"/>
      <c r="AB45" s="224"/>
      <c r="AC45" s="119"/>
      <c r="AD45" s="219"/>
      <c r="AE45" s="220"/>
      <c r="AG45" s="13" t="b">
        <f t="shared" si="1"/>
        <v>0</v>
      </c>
      <c r="AH45" s="13" t="b">
        <f t="shared" si="2"/>
        <v>0</v>
      </c>
      <c r="AI45" s="13" t="b">
        <f t="shared" si="3"/>
        <v>0</v>
      </c>
      <c r="AJ45" s="13" t="b">
        <f t="shared" si="4"/>
        <v>0</v>
      </c>
      <c r="AK45" s="13" t="b">
        <f t="shared" si="5"/>
        <v>0</v>
      </c>
      <c r="AL45" s="13">
        <f t="shared" si="6"/>
        <v>0</v>
      </c>
    </row>
    <row r="46" spans="1:39">
      <c r="A46" s="211"/>
      <c r="B46" s="173"/>
      <c r="C46" s="173"/>
      <c r="D46" s="173"/>
      <c r="E46" s="211"/>
      <c r="F46" s="173"/>
      <c r="G46" s="173"/>
      <c r="H46" s="173"/>
      <c r="I46" s="173"/>
      <c r="J46" s="173"/>
      <c r="K46" s="173"/>
      <c r="L46" s="173"/>
      <c r="M46" s="173"/>
      <c r="N46" s="173"/>
      <c r="O46" s="173"/>
      <c r="P46" s="173"/>
      <c r="Q46" s="173"/>
      <c r="R46" s="174"/>
      <c r="S46" s="223"/>
      <c r="T46" s="119"/>
      <c r="U46" s="119"/>
      <c r="V46" s="120"/>
      <c r="W46" s="223"/>
      <c r="X46" s="119"/>
      <c r="Y46" s="120"/>
      <c r="Z46" s="224"/>
      <c r="AA46" s="119"/>
      <c r="AB46" s="224"/>
      <c r="AC46" s="119"/>
      <c r="AD46" s="219"/>
      <c r="AE46" s="220"/>
      <c r="AG46" s="13" t="b">
        <f t="shared" si="1"/>
        <v>0</v>
      </c>
      <c r="AH46" s="13" t="b">
        <f t="shared" si="2"/>
        <v>0</v>
      </c>
      <c r="AI46" s="13" t="b">
        <f t="shared" si="3"/>
        <v>0</v>
      </c>
      <c r="AJ46" s="13" t="b">
        <f t="shared" si="4"/>
        <v>0</v>
      </c>
      <c r="AK46" s="13" t="b">
        <f t="shared" si="5"/>
        <v>0</v>
      </c>
      <c r="AL46" s="13">
        <f t="shared" si="6"/>
        <v>0</v>
      </c>
    </row>
    <row r="47" spans="1:39">
      <c r="A47" s="211"/>
      <c r="B47" s="173"/>
      <c r="C47" s="173"/>
      <c r="D47" s="173"/>
      <c r="E47" s="211"/>
      <c r="F47" s="173"/>
      <c r="G47" s="173"/>
      <c r="H47" s="173"/>
      <c r="I47" s="173"/>
      <c r="J47" s="173"/>
      <c r="K47" s="173"/>
      <c r="L47" s="173"/>
      <c r="M47" s="173"/>
      <c r="N47" s="173"/>
      <c r="O47" s="173"/>
      <c r="P47" s="173"/>
      <c r="Q47" s="173"/>
      <c r="R47" s="174"/>
      <c r="S47" s="223"/>
      <c r="T47" s="119"/>
      <c r="U47" s="119"/>
      <c r="V47" s="120"/>
      <c r="W47" s="223"/>
      <c r="X47" s="119"/>
      <c r="Y47" s="120"/>
      <c r="Z47" s="224"/>
      <c r="AA47" s="119"/>
      <c r="AB47" s="224"/>
      <c r="AC47" s="119"/>
      <c r="AD47" s="219"/>
      <c r="AE47" s="220"/>
      <c r="AG47" s="13" t="b">
        <f t="shared" si="1"/>
        <v>0</v>
      </c>
      <c r="AH47" s="13" t="b">
        <f t="shared" si="2"/>
        <v>0</v>
      </c>
      <c r="AI47" s="13" t="b">
        <f t="shared" si="3"/>
        <v>0</v>
      </c>
      <c r="AJ47" s="13" t="b">
        <f t="shared" si="4"/>
        <v>0</v>
      </c>
      <c r="AK47" s="13" t="b">
        <f t="shared" si="5"/>
        <v>0</v>
      </c>
      <c r="AL47" s="13">
        <f t="shared" si="6"/>
        <v>0</v>
      </c>
    </row>
    <row r="48" spans="1:39">
      <c r="A48" s="211"/>
      <c r="B48" s="173"/>
      <c r="C48" s="173"/>
      <c r="D48" s="173"/>
      <c r="E48" s="211"/>
      <c r="F48" s="173"/>
      <c r="G48" s="173"/>
      <c r="H48" s="173"/>
      <c r="I48" s="173"/>
      <c r="J48" s="173"/>
      <c r="K48" s="173"/>
      <c r="L48" s="173"/>
      <c r="M48" s="173"/>
      <c r="N48" s="173"/>
      <c r="O48" s="173"/>
      <c r="P48" s="173"/>
      <c r="Q48" s="173"/>
      <c r="R48" s="174"/>
      <c r="S48" s="223"/>
      <c r="T48" s="119"/>
      <c r="U48" s="119"/>
      <c r="V48" s="120"/>
      <c r="W48" s="223"/>
      <c r="X48" s="119"/>
      <c r="Y48" s="120"/>
      <c r="Z48" s="224"/>
      <c r="AA48" s="119"/>
      <c r="AB48" s="224"/>
      <c r="AC48" s="119"/>
      <c r="AD48" s="219"/>
      <c r="AE48" s="220"/>
      <c r="AG48" s="13" t="b">
        <f t="shared" si="1"/>
        <v>0</v>
      </c>
      <c r="AH48" s="13" t="b">
        <f t="shared" si="2"/>
        <v>0</v>
      </c>
      <c r="AI48" s="13" t="b">
        <f t="shared" si="3"/>
        <v>0</v>
      </c>
      <c r="AJ48" s="13" t="b">
        <f t="shared" si="4"/>
        <v>0</v>
      </c>
      <c r="AK48" s="13" t="b">
        <f t="shared" si="5"/>
        <v>0</v>
      </c>
      <c r="AL48" s="13">
        <f t="shared" si="6"/>
        <v>0</v>
      </c>
    </row>
    <row r="49" spans="1:38">
      <c r="A49" s="211"/>
      <c r="B49" s="173"/>
      <c r="C49" s="173"/>
      <c r="D49" s="173"/>
      <c r="E49" s="211"/>
      <c r="F49" s="173"/>
      <c r="G49" s="173"/>
      <c r="H49" s="173"/>
      <c r="I49" s="173"/>
      <c r="J49" s="173"/>
      <c r="K49" s="173"/>
      <c r="L49" s="173"/>
      <c r="M49" s="173"/>
      <c r="N49" s="173"/>
      <c r="O49" s="173"/>
      <c r="P49" s="173"/>
      <c r="Q49" s="173"/>
      <c r="R49" s="174"/>
      <c r="S49" s="223"/>
      <c r="T49" s="119"/>
      <c r="U49" s="119"/>
      <c r="V49" s="120"/>
      <c r="W49" s="223"/>
      <c r="X49" s="119"/>
      <c r="Y49" s="120"/>
      <c r="Z49" s="224"/>
      <c r="AA49" s="119"/>
      <c r="AB49" s="224"/>
      <c r="AC49" s="119"/>
      <c r="AD49" s="219"/>
      <c r="AE49" s="220"/>
      <c r="AG49" s="13" t="b">
        <f t="shared" si="1"/>
        <v>0</v>
      </c>
      <c r="AH49" s="13" t="b">
        <f t="shared" si="2"/>
        <v>0</v>
      </c>
      <c r="AI49" s="13" t="b">
        <f t="shared" si="3"/>
        <v>0</v>
      </c>
      <c r="AJ49" s="13" t="b">
        <f t="shared" si="4"/>
        <v>0</v>
      </c>
      <c r="AK49" s="13" t="b">
        <f t="shared" si="5"/>
        <v>0</v>
      </c>
      <c r="AL49" s="13">
        <f t="shared" si="6"/>
        <v>0</v>
      </c>
    </row>
    <row r="50" spans="1:38">
      <c r="A50" s="211"/>
      <c r="B50" s="173"/>
      <c r="C50" s="173"/>
      <c r="D50" s="173"/>
      <c r="E50" s="211"/>
      <c r="F50" s="173"/>
      <c r="G50" s="173"/>
      <c r="H50" s="173"/>
      <c r="I50" s="173"/>
      <c r="J50" s="173"/>
      <c r="K50" s="173"/>
      <c r="L50" s="173"/>
      <c r="M50" s="173"/>
      <c r="N50" s="173"/>
      <c r="O50" s="173"/>
      <c r="P50" s="173"/>
      <c r="Q50" s="173"/>
      <c r="R50" s="174"/>
      <c r="S50" s="223"/>
      <c r="T50" s="119"/>
      <c r="U50" s="119"/>
      <c r="V50" s="120"/>
      <c r="W50" s="223"/>
      <c r="X50" s="119"/>
      <c r="Y50" s="120"/>
      <c r="Z50" s="224"/>
      <c r="AA50" s="119"/>
      <c r="AB50" s="224"/>
      <c r="AC50" s="119"/>
      <c r="AD50" s="219"/>
      <c r="AE50" s="220"/>
      <c r="AG50" s="13" t="b">
        <f t="shared" si="1"/>
        <v>0</v>
      </c>
      <c r="AH50" s="13" t="b">
        <f t="shared" si="2"/>
        <v>0</v>
      </c>
      <c r="AI50" s="13" t="b">
        <f t="shared" si="3"/>
        <v>0</v>
      </c>
      <c r="AJ50" s="13" t="b">
        <f t="shared" si="4"/>
        <v>0</v>
      </c>
      <c r="AK50" s="13" t="b">
        <f t="shared" si="5"/>
        <v>0</v>
      </c>
      <c r="AL50" s="13">
        <f t="shared" si="6"/>
        <v>0</v>
      </c>
    </row>
    <row r="51" spans="1:38">
      <c r="A51" s="211"/>
      <c r="B51" s="173"/>
      <c r="C51" s="173"/>
      <c r="D51" s="173"/>
      <c r="E51" s="211"/>
      <c r="F51" s="173"/>
      <c r="G51" s="173"/>
      <c r="H51" s="173"/>
      <c r="I51" s="173"/>
      <c r="J51" s="173"/>
      <c r="K51" s="173"/>
      <c r="L51" s="173"/>
      <c r="M51" s="173"/>
      <c r="N51" s="173"/>
      <c r="O51" s="173"/>
      <c r="P51" s="173"/>
      <c r="Q51" s="173"/>
      <c r="R51" s="174"/>
      <c r="S51" s="223"/>
      <c r="T51" s="119"/>
      <c r="U51" s="119"/>
      <c r="V51" s="120"/>
      <c r="W51" s="223"/>
      <c r="X51" s="119"/>
      <c r="Y51" s="120"/>
      <c r="Z51" s="224"/>
      <c r="AA51" s="119"/>
      <c r="AB51" s="224"/>
      <c r="AC51" s="119"/>
      <c r="AD51" s="219"/>
      <c r="AE51" s="220"/>
      <c r="AG51" s="13" t="b">
        <f t="shared" si="1"/>
        <v>0</v>
      </c>
      <c r="AH51" s="13" t="b">
        <f t="shared" si="2"/>
        <v>0</v>
      </c>
      <c r="AI51" s="13" t="b">
        <f t="shared" si="3"/>
        <v>0</v>
      </c>
      <c r="AJ51" s="13" t="b">
        <f t="shared" si="4"/>
        <v>0</v>
      </c>
      <c r="AK51" s="13" t="b">
        <f t="shared" si="5"/>
        <v>0</v>
      </c>
      <c r="AL51" s="13">
        <f t="shared" si="6"/>
        <v>0</v>
      </c>
    </row>
    <row r="52" spans="1:38">
      <c r="A52" s="211"/>
      <c r="B52" s="173"/>
      <c r="C52" s="173"/>
      <c r="D52" s="173"/>
      <c r="E52" s="225"/>
      <c r="F52" s="226"/>
      <c r="G52" s="226"/>
      <c r="H52" s="226"/>
      <c r="I52" s="226"/>
      <c r="J52" s="226"/>
      <c r="K52" s="226"/>
      <c r="L52" s="226"/>
      <c r="M52" s="226"/>
      <c r="N52" s="226"/>
      <c r="O52" s="226"/>
      <c r="P52" s="226"/>
      <c r="Q52" s="226"/>
      <c r="R52" s="227"/>
      <c r="S52" s="223"/>
      <c r="T52" s="119"/>
      <c r="U52" s="119"/>
      <c r="V52" s="120"/>
      <c r="W52" s="223"/>
      <c r="X52" s="119"/>
      <c r="Y52" s="120"/>
      <c r="Z52" s="224"/>
      <c r="AA52" s="119"/>
      <c r="AB52" s="224"/>
      <c r="AC52" s="119"/>
      <c r="AD52" s="219"/>
      <c r="AE52" s="220"/>
      <c r="AG52" s="13" t="b">
        <f t="shared" si="1"/>
        <v>0</v>
      </c>
      <c r="AH52" s="13" t="b">
        <f t="shared" si="2"/>
        <v>0</v>
      </c>
      <c r="AI52" s="13" t="b">
        <f t="shared" si="3"/>
        <v>0</v>
      </c>
      <c r="AJ52" s="13" t="b">
        <f t="shared" si="4"/>
        <v>0</v>
      </c>
      <c r="AK52" s="13" t="b">
        <f t="shared" si="5"/>
        <v>0</v>
      </c>
      <c r="AL52" s="13">
        <f t="shared" si="6"/>
        <v>0</v>
      </c>
    </row>
    <row r="53" spans="1:38">
      <c r="A53" s="228"/>
      <c r="B53" s="229"/>
      <c r="C53" s="229"/>
      <c r="D53" s="229"/>
      <c r="E53" s="230"/>
      <c r="F53" s="231"/>
      <c r="G53" s="231"/>
      <c r="H53" s="231"/>
      <c r="I53" s="232"/>
      <c r="J53" s="232"/>
      <c r="K53" s="232"/>
      <c r="L53" s="232"/>
      <c r="M53" s="232"/>
      <c r="N53" s="232"/>
      <c r="O53" s="232"/>
      <c r="P53" s="232"/>
      <c r="Q53" s="232"/>
      <c r="R53" s="233"/>
      <c r="S53" s="223"/>
      <c r="T53" s="119"/>
      <c r="U53" s="119"/>
      <c r="V53" s="120"/>
      <c r="W53" s="234"/>
      <c r="X53" s="235"/>
      <c r="Y53" s="236"/>
      <c r="Z53" s="237"/>
      <c r="AA53" s="235"/>
      <c r="AB53" s="237"/>
      <c r="AC53" s="235"/>
      <c r="AD53" s="238"/>
      <c r="AE53" s="239"/>
      <c r="AG53" s="13" t="b">
        <f t="shared" si="1"/>
        <v>0</v>
      </c>
      <c r="AH53" s="13" t="b">
        <f t="shared" si="2"/>
        <v>0</v>
      </c>
      <c r="AI53" s="13" t="b">
        <f t="shared" si="3"/>
        <v>0</v>
      </c>
      <c r="AJ53" s="13" t="b">
        <f t="shared" si="4"/>
        <v>0</v>
      </c>
      <c r="AK53" s="13" t="b">
        <f t="shared" si="5"/>
        <v>0</v>
      </c>
      <c r="AL53" s="13">
        <f t="shared" si="6"/>
        <v>0</v>
      </c>
    </row>
    <row r="54" spans="1:38">
      <c r="A54" s="240" t="s">
        <v>75</v>
      </c>
      <c r="B54" s="241"/>
      <c r="C54" s="241"/>
      <c r="D54" s="241"/>
      <c r="E54" s="241"/>
      <c r="F54" s="241"/>
      <c r="G54" s="241"/>
      <c r="H54" s="241"/>
      <c r="I54" s="241"/>
      <c r="J54" s="241"/>
      <c r="K54" s="241"/>
      <c r="L54" s="241"/>
      <c r="M54" s="241"/>
      <c r="N54" s="241"/>
      <c r="O54" s="241"/>
      <c r="P54" s="241"/>
      <c r="Q54" s="241"/>
      <c r="R54" s="242"/>
      <c r="S54" s="243" t="str">
        <f>CONCATENATE(AG55,AH55,AI55,AJ55,AK55,AL55)</f>
        <v>5 PLT</v>
      </c>
      <c r="T54" s="243"/>
      <c r="U54" s="243"/>
      <c r="V54" s="243"/>
      <c r="W54" s="244" t="str">
        <f>CONCATENATE(SUM(W40:W53)," KG")</f>
        <v>659.5 KG</v>
      </c>
      <c r="X54" s="244"/>
      <c r="Y54" s="244"/>
      <c r="Z54" s="245" t="s">
        <v>76</v>
      </c>
      <c r="AA54" s="245"/>
      <c r="AB54" s="245"/>
      <c r="AC54" s="245"/>
      <c r="AD54" s="245"/>
      <c r="AE54" s="245"/>
      <c r="AG54" s="13">
        <f>SUMPRODUCT((U40:U53="ctn")*(S40:S53))</f>
        <v>0</v>
      </c>
      <c r="AH54" s="13">
        <f>SUMPRODUCT((U40:U53="PLT")*(S40:S53))</f>
        <v>5</v>
      </c>
      <c r="AI54" s="13">
        <f>SUMPRODUCT((U40:U53="PCS")*(S40:S53))</f>
        <v>0</v>
      </c>
      <c r="AJ54" s="13">
        <f>SUMPRODUCT((U40:U53="W/C")*(S40:S53))</f>
        <v>0</v>
      </c>
      <c r="AK54" s="13">
        <f>SUMPRODUCT((U40:U53="DRUM")*(S40:S53))</f>
        <v>0</v>
      </c>
      <c r="AL54" s="13">
        <f>SUMPRODUCT((U40:U53="ROLL")*(S40:S53))</f>
        <v>0</v>
      </c>
    </row>
    <row r="55" spans="1:38">
      <c r="A55" s="240"/>
      <c r="B55" s="241"/>
      <c r="C55" s="241"/>
      <c r="D55" s="241"/>
      <c r="E55" s="241"/>
      <c r="F55" s="241"/>
      <c r="G55" s="241"/>
      <c r="H55" s="241"/>
      <c r="I55" s="241"/>
      <c r="J55" s="241"/>
      <c r="K55" s="241"/>
      <c r="L55" s="241"/>
      <c r="M55" s="241"/>
      <c r="N55" s="241"/>
      <c r="O55" s="241"/>
      <c r="P55" s="241"/>
      <c r="Q55" s="241"/>
      <c r="R55" s="242"/>
      <c r="S55" s="243"/>
      <c r="T55" s="243"/>
      <c r="U55" s="243"/>
      <c r="V55" s="243"/>
      <c r="W55" s="246"/>
      <c r="X55" s="246"/>
      <c r="Y55" s="246"/>
      <c r="Z55" s="247"/>
      <c r="AA55" s="247"/>
      <c r="AB55" s="247"/>
      <c r="AC55" s="247"/>
      <c r="AD55" s="247"/>
      <c r="AE55" s="247"/>
      <c r="AG55" s="13" t="str">
        <f>IF(AG54&gt;0,CONCATENATE(AG54," CTN"),"")</f>
        <v/>
      </c>
      <c r="AH55" s="13" t="str">
        <f>IF(AH54&gt;0,CONCATENATE(IF(AG54&gt;0,"+",""),AH54," PLT"),"")</f>
        <v>5 PLT</v>
      </c>
      <c r="AI55" s="13" t="str">
        <f>IF(AI54&gt;0,CONCATENATE(IF(OR(AG54&gt;0,AH54&gt;0),"+",""),AI54," PCS"),"")</f>
        <v/>
      </c>
      <c r="AJ55" s="13" t="str">
        <f>IF(AJ54&gt;0,CONCATENATE(IF(OR(AG54&gt;0,AH54&gt;0,AI54&gt;0),"+",""),AJ54," W/C"),"")</f>
        <v/>
      </c>
      <c r="AK55" s="13" t="str">
        <f>IF(AK54&gt;0,CONCATENATE(IF(OR(AG54&gt;0,AH54&gt;0,AI54&gt;0,AJ54&gt;0),"+",""),AK54," DRUM"),"")</f>
        <v/>
      </c>
      <c r="AL55" s="13" t="str">
        <f>IF(AL54&gt;0,CONCATENATE(IF(OR(AG54&gt;0,AH54&gt;0,AI54&gt;0,AJ54&gt;0,AK54&gt;0),"+",""),AL54," ROLL"),"")</f>
        <v/>
      </c>
    </row>
    <row r="56" ht="8.25" customHeight="1" spans="1:38">
      <c r="A56" s="248" t="s">
        <v>77</v>
      </c>
      <c r="B56" s="249"/>
      <c r="C56" s="249"/>
      <c r="D56" s="249"/>
      <c r="E56" s="249"/>
      <c r="F56" s="249"/>
      <c r="G56" s="249"/>
      <c r="H56" s="249"/>
      <c r="I56" s="249"/>
      <c r="J56" s="249"/>
      <c r="K56" s="249"/>
      <c r="L56" s="249"/>
      <c r="M56" s="249"/>
      <c r="N56" s="249"/>
      <c r="O56" s="249"/>
      <c r="P56" s="249"/>
      <c r="Q56" s="249"/>
      <c r="R56" s="250"/>
      <c r="S56" s="251" t="s">
        <v>78</v>
      </c>
      <c r="T56" s="252"/>
      <c r="U56" s="252"/>
      <c r="V56" s="252"/>
      <c r="W56" s="252"/>
      <c r="X56" s="252"/>
      <c r="Y56" s="252"/>
      <c r="Z56" s="252"/>
      <c r="AA56" s="252"/>
      <c r="AB56" s="252"/>
      <c r="AC56" s="252"/>
      <c r="AD56" s="252"/>
      <c r="AE56" s="253"/>
    </row>
    <row r="57" ht="15" customHeight="1" spans="1:38">
      <c r="A57" s="254"/>
      <c r="B57" s="255"/>
      <c r="C57" s="255"/>
      <c r="D57" s="255"/>
      <c r="E57" s="255"/>
      <c r="F57" s="255"/>
      <c r="G57" s="255"/>
      <c r="H57" s="255"/>
      <c r="I57" s="255"/>
      <c r="J57" s="255"/>
      <c r="K57" s="255"/>
      <c r="L57" s="255"/>
      <c r="M57" s="255"/>
      <c r="N57" s="255"/>
      <c r="O57" s="255"/>
      <c r="P57" s="255"/>
      <c r="Q57" s="255"/>
      <c r="R57" s="256"/>
      <c r="S57" s="257"/>
      <c r="T57" s="258"/>
      <c r="U57" s="258"/>
      <c r="V57" s="258"/>
      <c r="W57" s="258"/>
      <c r="X57" s="258"/>
      <c r="Y57" s="258"/>
      <c r="Z57" s="258"/>
      <c r="AA57" s="258"/>
      <c r="AB57" s="258"/>
      <c r="AC57" s="258"/>
      <c r="AD57" s="258"/>
      <c r="AE57" s="259"/>
    </row>
    <row r="58" ht="18" customHeight="1" spans="1:38">
      <c r="A58" s="251" t="s">
        <v>79</v>
      </c>
      <c r="B58" s="252"/>
      <c r="C58" s="252"/>
      <c r="D58" s="252"/>
      <c r="E58" s="252"/>
      <c r="F58" s="252"/>
      <c r="G58" s="252"/>
      <c r="H58" s="252"/>
      <c r="I58" s="252"/>
      <c r="J58" s="260" t="s">
        <v>80</v>
      </c>
      <c r="K58" s="260"/>
      <c r="L58" s="260"/>
      <c r="M58" s="260"/>
      <c r="N58" s="260"/>
      <c r="O58" s="260"/>
      <c r="P58" s="261"/>
      <c r="Q58" s="261"/>
      <c r="R58" s="262"/>
      <c r="S58" s="263"/>
      <c r="T58" s="264"/>
      <c r="U58" s="264"/>
      <c r="V58" s="264"/>
      <c r="W58" s="264"/>
      <c r="X58" s="264"/>
      <c r="Y58" s="264"/>
      <c r="Z58" s="264"/>
      <c r="AA58" s="264"/>
      <c r="AB58" s="264"/>
      <c r="AC58" s="264"/>
      <c r="AD58" s="264"/>
      <c r="AE58" s="265"/>
      <c r="AG58" s="13" t="b">
        <v>1</v>
      </c>
      <c r="AH58" s="13" t="b">
        <v>0</v>
      </c>
    </row>
    <row r="59" ht="18" customHeight="1" spans="1:38">
      <c r="A59" s="266" t="s">
        <v>81</v>
      </c>
      <c r="B59" s="267"/>
      <c r="C59" s="267"/>
      <c r="D59" s="267"/>
      <c r="E59" s="267"/>
      <c r="F59" s="267"/>
      <c r="G59" s="267"/>
      <c r="H59" s="267"/>
      <c r="I59" s="267"/>
      <c r="J59" s="196"/>
      <c r="K59" s="196"/>
      <c r="L59" s="196"/>
      <c r="M59" s="196"/>
      <c r="N59" s="196"/>
      <c r="O59" s="196"/>
      <c r="P59" s="196"/>
      <c r="Q59" s="196"/>
      <c r="R59" s="197"/>
      <c r="S59" s="268"/>
      <c r="T59" s="269"/>
      <c r="U59" s="269"/>
      <c r="V59" s="269"/>
      <c r="W59" s="269"/>
      <c r="X59" s="269"/>
      <c r="Y59" s="269"/>
      <c r="Z59" s="269"/>
      <c r="AA59" s="269"/>
      <c r="AB59" s="269"/>
      <c r="AC59" s="269"/>
      <c r="AD59" s="269"/>
      <c r="AE59" s="270"/>
    </row>
    <row r="60" ht="11.25" customHeight="1" spans="1:38">
      <c r="A60" s="84" t="s">
        <v>82</v>
      </c>
      <c r="B60" s="85"/>
      <c r="C60" s="85"/>
      <c r="D60" s="85"/>
      <c r="E60" s="85"/>
      <c r="F60" s="85"/>
      <c r="G60" s="85"/>
      <c r="H60" s="85"/>
      <c r="I60" s="85"/>
      <c r="J60" s="271" t="s">
        <v>83</v>
      </c>
      <c r="K60" s="271"/>
      <c r="L60" s="271"/>
      <c r="M60" s="271"/>
      <c r="N60" s="271"/>
      <c r="O60" s="271"/>
      <c r="P60" s="271"/>
      <c r="Q60" s="271"/>
      <c r="R60" s="272"/>
      <c r="S60" s="273" t="s">
        <v>84</v>
      </c>
      <c r="T60" s="274"/>
      <c r="U60" s="274"/>
      <c r="V60" s="274"/>
      <c r="W60" s="274"/>
      <c r="X60" s="274"/>
      <c r="Y60" s="274"/>
      <c r="Z60" s="274"/>
      <c r="AA60" s="274"/>
      <c r="AB60" s="274"/>
      <c r="AC60" s="274"/>
      <c r="AD60" s="274"/>
      <c r="AE60" s="275"/>
      <c r="AG60" s="13" t="b">
        <v>1</v>
      </c>
      <c r="AH60" s="13" t="b">
        <v>0</v>
      </c>
    </row>
    <row r="61" ht="6.75" customHeight="1" spans="1:38">
      <c r="A61" s="89"/>
      <c r="B61" s="90"/>
      <c r="C61" s="90"/>
      <c r="D61" s="90"/>
      <c r="E61" s="90"/>
      <c r="F61" s="90"/>
      <c r="G61" s="90"/>
      <c r="H61" s="90"/>
      <c r="I61" s="90"/>
      <c r="J61" s="276"/>
      <c r="K61" s="276"/>
      <c r="L61" s="276"/>
      <c r="M61" s="276"/>
      <c r="N61" s="276"/>
      <c r="O61" s="276"/>
      <c r="P61" s="276"/>
      <c r="Q61" s="276"/>
      <c r="R61" s="277"/>
      <c r="S61" s="273"/>
      <c r="T61" s="274"/>
      <c r="U61" s="274"/>
      <c r="V61" s="274"/>
      <c r="W61" s="274"/>
      <c r="X61" s="274"/>
      <c r="Y61" s="274"/>
      <c r="Z61" s="274"/>
      <c r="AA61" s="274"/>
      <c r="AB61" s="274"/>
      <c r="AC61" s="274"/>
      <c r="AD61" s="274"/>
      <c r="AE61" s="275"/>
    </row>
    <row r="62" ht="12.75" customHeight="1" spans="1:38">
      <c r="A62" s="278" t="s">
        <v>85</v>
      </c>
      <c r="B62" s="279"/>
      <c r="C62" s="279"/>
      <c r="D62" s="280" t="s">
        <v>86</v>
      </c>
      <c r="E62" s="281"/>
      <c r="F62" s="281"/>
      <c r="G62" s="281"/>
      <c r="H62" s="281"/>
      <c r="I62" s="281"/>
      <c r="J62" s="281"/>
      <c r="K62" s="281"/>
      <c r="L62" s="281"/>
      <c r="M62" s="281"/>
      <c r="N62" s="281"/>
      <c r="O62" s="281"/>
      <c r="P62" s="281"/>
      <c r="Q62" s="281"/>
      <c r="R62" s="282"/>
      <c r="S62" s="273"/>
      <c r="T62" s="274"/>
      <c r="U62" s="274"/>
      <c r="V62" s="274"/>
      <c r="W62" s="274"/>
      <c r="X62" s="274"/>
      <c r="Y62" s="274"/>
      <c r="Z62" s="274"/>
      <c r="AA62" s="274"/>
      <c r="AB62" s="274"/>
      <c r="AC62" s="274"/>
      <c r="AD62" s="274"/>
      <c r="AE62" s="275"/>
    </row>
    <row r="63" ht="23.25" customHeight="1" spans="1:38">
      <c r="A63" s="283"/>
      <c r="B63" s="284"/>
      <c r="C63" s="284"/>
      <c r="D63" s="285" t="s">
        <v>87</v>
      </c>
      <c r="E63" s="276"/>
      <c r="F63" s="276"/>
      <c r="G63" s="276"/>
      <c r="H63" s="276"/>
      <c r="I63" s="276"/>
      <c r="J63" s="276"/>
      <c r="K63" s="277"/>
      <c r="L63" s="286" t="s">
        <v>88</v>
      </c>
      <c r="M63" s="287"/>
      <c r="N63" s="288"/>
      <c r="O63" s="288"/>
      <c r="P63" s="288"/>
      <c r="Q63" s="288"/>
      <c r="R63" s="289"/>
      <c r="S63" s="273"/>
      <c r="T63" s="274"/>
      <c r="U63" s="274"/>
      <c r="V63" s="274"/>
      <c r="W63" s="274"/>
      <c r="X63" s="274"/>
      <c r="Y63" s="274"/>
      <c r="Z63" s="274"/>
      <c r="AA63" s="274"/>
      <c r="AB63" s="274"/>
      <c r="AC63" s="274"/>
      <c r="AD63" s="274"/>
      <c r="AE63" s="275"/>
      <c r="AG63" s="13" t="b">
        <v>1</v>
      </c>
      <c r="AH63" s="13" t="b">
        <v>0</v>
      </c>
    </row>
    <row r="64" ht="18.75" customHeight="1" spans="1:38">
      <c r="A64" s="283"/>
      <c r="B64" s="284"/>
      <c r="C64" s="284"/>
      <c r="D64" s="290" t="s">
        <v>89</v>
      </c>
      <c r="E64" s="290"/>
      <c r="F64" s="291" t="s">
        <v>90</v>
      </c>
      <c r="G64" s="291"/>
      <c r="H64" s="291"/>
      <c r="I64" s="291"/>
      <c r="J64" s="291"/>
      <c r="K64" s="291"/>
      <c r="L64" s="291"/>
      <c r="M64" s="291"/>
      <c r="N64" s="291"/>
      <c r="O64" s="291"/>
      <c r="P64" s="291"/>
      <c r="Q64" s="291"/>
      <c r="R64" s="291"/>
      <c r="S64" s="273"/>
      <c r="T64" s="274"/>
      <c r="U64" s="274"/>
      <c r="V64" s="274"/>
      <c r="W64" s="274"/>
      <c r="X64" s="274"/>
      <c r="Y64" s="274"/>
      <c r="Z64" s="274"/>
      <c r="AA64" s="274"/>
      <c r="AB64" s="274"/>
      <c r="AC64" s="274"/>
      <c r="AD64" s="274"/>
      <c r="AE64" s="275"/>
      <c r="AG64" s="13" t="b">
        <v>0</v>
      </c>
      <c r="AH64" s="13" t="b">
        <v>0</v>
      </c>
      <c r="AI64" s="13" t="b">
        <v>0</v>
      </c>
    </row>
    <row r="65" ht="18.75" customHeight="1" spans="1:35">
      <c r="A65" s="283"/>
      <c r="B65" s="284"/>
      <c r="C65" s="284"/>
      <c r="D65" s="290" t="s">
        <v>91</v>
      </c>
      <c r="E65" s="290"/>
      <c r="F65" s="291" t="s">
        <v>92</v>
      </c>
      <c r="G65" s="291"/>
      <c r="H65" s="291"/>
      <c r="I65" s="291"/>
      <c r="J65" s="291"/>
      <c r="K65" s="291"/>
      <c r="L65" s="291"/>
      <c r="M65" s="291"/>
      <c r="N65" s="291"/>
      <c r="O65" s="291"/>
      <c r="P65" s="291"/>
      <c r="Q65" s="291"/>
      <c r="R65" s="291"/>
      <c r="S65" s="273"/>
      <c r="T65" s="274"/>
      <c r="U65" s="274"/>
      <c r="V65" s="274"/>
      <c r="W65" s="274"/>
      <c r="X65" s="274"/>
      <c r="Y65" s="274"/>
      <c r="Z65" s="274"/>
      <c r="AA65" s="274"/>
      <c r="AB65" s="274"/>
      <c r="AC65" s="274"/>
      <c r="AD65" s="274"/>
      <c r="AE65" s="275"/>
      <c r="AG65" s="13" t="b">
        <v>0</v>
      </c>
      <c r="AH65" s="13" t="b">
        <v>0</v>
      </c>
    </row>
    <row r="66" ht="18.75" customHeight="1" spans="1:35">
      <c r="A66" s="283"/>
      <c r="B66" s="284"/>
      <c r="C66" s="284"/>
      <c r="D66" s="290" t="s">
        <v>93</v>
      </c>
      <c r="E66" s="290"/>
      <c r="F66" s="292" t="s">
        <v>94</v>
      </c>
      <c r="G66" s="292"/>
      <c r="H66" s="292"/>
      <c r="I66" s="292"/>
      <c r="J66" s="292"/>
      <c r="K66" s="292"/>
      <c r="L66" s="292"/>
      <c r="M66" s="292"/>
      <c r="N66" s="292"/>
      <c r="O66" s="292"/>
      <c r="P66" s="292"/>
      <c r="Q66" s="292"/>
      <c r="R66" s="292"/>
      <c r="S66" s="153"/>
      <c r="T66" s="154"/>
      <c r="U66" s="154"/>
      <c r="V66" s="154"/>
      <c r="W66" s="154"/>
      <c r="X66" s="154"/>
      <c r="Y66" s="154"/>
      <c r="Z66" s="154"/>
      <c r="AA66" s="154"/>
      <c r="AB66" s="154"/>
      <c r="AC66" s="154"/>
      <c r="AD66" s="154"/>
      <c r="AE66" s="155"/>
      <c r="AG66" s="13" t="b">
        <v>0</v>
      </c>
      <c r="AH66" s="13" t="b">
        <v>0</v>
      </c>
      <c r="AI66" s="13" t="b">
        <v>0</v>
      </c>
    </row>
    <row r="67" ht="18.75" customHeight="1" spans="1:35">
      <c r="A67" s="283"/>
      <c r="B67" s="284"/>
      <c r="C67" s="284"/>
      <c r="D67" s="290"/>
      <c r="E67" s="290"/>
      <c r="F67" s="293" t="s">
        <v>95</v>
      </c>
      <c r="G67" s="293"/>
      <c r="H67" s="293"/>
      <c r="I67" s="293"/>
      <c r="J67" s="293"/>
      <c r="K67" s="293"/>
      <c r="L67" s="293"/>
      <c r="M67" s="293"/>
      <c r="N67" s="293"/>
      <c r="O67" s="293"/>
      <c r="P67" s="293"/>
      <c r="Q67" s="293"/>
      <c r="R67" s="293"/>
      <c r="S67" s="18" t="s">
        <v>96</v>
      </c>
      <c r="T67" s="19"/>
      <c r="U67" s="19"/>
      <c r="V67" s="19"/>
      <c r="W67" s="19"/>
      <c r="X67" s="19"/>
      <c r="Y67" s="19"/>
      <c r="Z67" s="19"/>
      <c r="AA67" s="19"/>
      <c r="AB67" s="19"/>
      <c r="AC67" s="19"/>
      <c r="AD67" s="19"/>
      <c r="AE67" s="20"/>
      <c r="AG67" s="13" t="b">
        <v>0</v>
      </c>
    </row>
    <row r="68" ht="18.75" customHeight="1" spans="1:35">
      <c r="A68" s="283"/>
      <c r="B68" s="284"/>
      <c r="C68" s="284"/>
      <c r="D68" s="290" t="s">
        <v>97</v>
      </c>
      <c r="E68" s="290"/>
      <c r="F68" s="291" t="s">
        <v>90</v>
      </c>
      <c r="G68" s="291"/>
      <c r="H68" s="291"/>
      <c r="I68" s="291"/>
      <c r="J68" s="291"/>
      <c r="K68" s="291"/>
      <c r="L68" s="291"/>
      <c r="M68" s="291"/>
      <c r="N68" s="291"/>
      <c r="O68" s="291"/>
      <c r="P68" s="291"/>
      <c r="Q68" s="291"/>
      <c r="R68" s="291"/>
      <c r="S68" s="222"/>
      <c r="T68" s="222"/>
      <c r="U68" s="222"/>
      <c r="V68" s="222"/>
      <c r="W68" s="222"/>
      <c r="X68" s="222"/>
      <c r="Y68" s="222"/>
      <c r="Z68" s="222"/>
      <c r="AA68" s="222"/>
      <c r="AB68" s="222"/>
      <c r="AC68" s="222"/>
      <c r="AD68" s="222"/>
      <c r="AE68" s="222"/>
      <c r="AG68" s="13" t="b">
        <v>0</v>
      </c>
      <c r="AH68" s="13" t="b">
        <v>0</v>
      </c>
      <c r="AI68" s="13" t="b">
        <v>0</v>
      </c>
    </row>
    <row r="69" ht="18.75" customHeight="1" spans="1:35">
      <c r="A69" s="283"/>
      <c r="B69" s="284"/>
      <c r="C69" s="284"/>
      <c r="D69" s="290" t="s">
        <v>98</v>
      </c>
      <c r="E69" s="290"/>
      <c r="F69" s="291" t="s">
        <v>92</v>
      </c>
      <c r="G69" s="291"/>
      <c r="H69" s="291"/>
      <c r="I69" s="291"/>
      <c r="J69" s="291"/>
      <c r="K69" s="291"/>
      <c r="L69" s="291"/>
      <c r="M69" s="291"/>
      <c r="N69" s="291"/>
      <c r="O69" s="291"/>
      <c r="P69" s="291"/>
      <c r="Q69" s="291"/>
      <c r="R69" s="291"/>
      <c r="S69" s="222"/>
      <c r="T69" s="222"/>
      <c r="U69" s="222"/>
      <c r="V69" s="222"/>
      <c r="W69" s="222"/>
      <c r="X69" s="222"/>
      <c r="Y69" s="222"/>
      <c r="Z69" s="222"/>
      <c r="AA69" s="222"/>
      <c r="AB69" s="222"/>
      <c r="AC69" s="222"/>
      <c r="AD69" s="222"/>
      <c r="AE69" s="222"/>
      <c r="AG69" s="13" t="b">
        <v>0</v>
      </c>
      <c r="AH69" s="13" t="b">
        <v>0</v>
      </c>
    </row>
    <row r="70" ht="18.75" customHeight="1" spans="1:35">
      <c r="A70" s="283"/>
      <c r="B70" s="284"/>
      <c r="C70" s="284"/>
      <c r="D70" s="290" t="s">
        <v>99</v>
      </c>
      <c r="E70" s="290"/>
      <c r="F70" s="292" t="s">
        <v>94</v>
      </c>
      <c r="G70" s="292"/>
      <c r="H70" s="292"/>
      <c r="I70" s="292"/>
      <c r="J70" s="292"/>
      <c r="K70" s="292"/>
      <c r="L70" s="292"/>
      <c r="M70" s="292"/>
      <c r="N70" s="292"/>
      <c r="O70" s="292"/>
      <c r="P70" s="292"/>
      <c r="Q70" s="292"/>
      <c r="R70" s="292"/>
      <c r="S70" s="222"/>
      <c r="T70" s="222"/>
      <c r="U70" s="222"/>
      <c r="V70" s="222"/>
      <c r="W70" s="222"/>
      <c r="X70" s="222"/>
      <c r="Y70" s="222"/>
      <c r="Z70" s="222"/>
      <c r="AA70" s="222"/>
      <c r="AB70" s="222"/>
      <c r="AC70" s="222"/>
      <c r="AD70" s="222"/>
      <c r="AE70" s="222"/>
      <c r="AG70" s="13" t="b">
        <v>0</v>
      </c>
      <c r="AH70" s="13" t="b">
        <v>0</v>
      </c>
      <c r="AI70" s="13" t="b">
        <v>0</v>
      </c>
    </row>
    <row r="71" ht="18.75" customHeight="1" spans="1:35">
      <c r="A71" s="294"/>
      <c r="B71" s="295"/>
      <c r="C71" s="295"/>
      <c r="D71" s="290"/>
      <c r="E71" s="290"/>
      <c r="F71" s="293" t="s">
        <v>95</v>
      </c>
      <c r="G71" s="293"/>
      <c r="H71" s="293"/>
      <c r="I71" s="293"/>
      <c r="J71" s="293"/>
      <c r="K71" s="293"/>
      <c r="L71" s="293"/>
      <c r="M71" s="293"/>
      <c r="N71" s="293"/>
      <c r="O71" s="293"/>
      <c r="P71" s="293"/>
      <c r="Q71" s="293"/>
      <c r="R71" s="293"/>
      <c r="S71" s="222"/>
      <c r="T71" s="222"/>
      <c r="U71" s="222"/>
      <c r="V71" s="222"/>
      <c r="W71" s="222"/>
      <c r="X71" s="222"/>
      <c r="Y71" s="222"/>
      <c r="Z71" s="222"/>
      <c r="AA71" s="222"/>
      <c r="AB71" s="222"/>
      <c r="AC71" s="222"/>
      <c r="AD71" s="222"/>
      <c r="AE71" s="222"/>
      <c r="AG71" s="13" t="b">
        <v>0</v>
      </c>
    </row>
    <row r="72" ht="27" customHeight="1" spans="1:35">
      <c r="A72" s="296" t="s">
        <v>100</v>
      </c>
      <c r="B72" s="297"/>
      <c r="C72" s="298"/>
      <c r="D72" s="299" t="s">
        <v>101</v>
      </c>
      <c r="E72" s="299"/>
      <c r="F72" s="299"/>
      <c r="G72" s="299"/>
      <c r="H72" s="299"/>
      <c r="I72" s="299"/>
      <c r="J72" s="299"/>
      <c r="K72" s="299"/>
      <c r="L72" s="299"/>
      <c r="M72" s="299"/>
      <c r="N72" s="299"/>
      <c r="O72" s="299"/>
      <c r="P72" s="299"/>
      <c r="Q72" s="299"/>
      <c r="R72" s="300"/>
      <c r="S72" s="301" t="s">
        <v>102</v>
      </c>
      <c r="T72" s="302"/>
      <c r="U72" s="302"/>
      <c r="V72" s="302"/>
      <c r="W72" s="302"/>
      <c r="X72" s="302"/>
      <c r="Y72" s="302"/>
      <c r="Z72" s="302"/>
      <c r="AA72" s="302"/>
      <c r="AB72" s="302"/>
      <c r="AC72" s="302"/>
      <c r="AD72" s="302"/>
      <c r="AE72" s="303"/>
      <c r="AG72" s="13" t="b">
        <v>0</v>
      </c>
      <c r="AH72" s="13" t="b">
        <v>0</v>
      </c>
    </row>
    <row r="73" ht="19.5" customHeight="1" spans="1:35">
      <c r="A73" s="304" t="s">
        <v>103</v>
      </c>
      <c r="B73" s="305"/>
      <c r="C73" s="305"/>
      <c r="D73" s="306" t="s">
        <v>104</v>
      </c>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c r="AE73" s="307"/>
    </row>
    <row r="74" ht="12.75" customHeight="1" spans="1:35">
      <c r="A74" s="308"/>
      <c r="B74" s="309"/>
      <c r="C74" s="309"/>
      <c r="D74" s="310"/>
      <c r="E74" s="310"/>
      <c r="F74" s="310"/>
      <c r="G74" s="310"/>
      <c r="H74" s="310"/>
      <c r="I74" s="310"/>
      <c r="J74" s="310"/>
      <c r="K74" s="310"/>
      <c r="L74" s="310"/>
      <c r="M74" s="310"/>
      <c r="N74" s="310"/>
      <c r="O74" s="310"/>
      <c r="P74" s="310"/>
      <c r="Q74" s="310"/>
      <c r="R74" s="310"/>
      <c r="S74" s="310"/>
      <c r="T74" s="310"/>
      <c r="U74" s="310"/>
      <c r="V74" s="310"/>
      <c r="W74" s="310"/>
      <c r="X74" s="310"/>
      <c r="Y74" s="310"/>
      <c r="Z74" s="310"/>
      <c r="AA74" s="310"/>
      <c r="AB74" s="310"/>
      <c r="AC74" s="310"/>
      <c r="AD74" s="310"/>
      <c r="AE74" s="311"/>
    </row>
    <row r="75" ht="12" customHeight="1" spans="1:35">
      <c r="A75" s="308"/>
      <c r="B75" s="309"/>
      <c r="C75" s="309"/>
      <c r="D75" s="310"/>
      <c r="E75" s="310"/>
      <c r="F75" s="310"/>
      <c r="G75" s="310"/>
      <c r="H75" s="310"/>
      <c r="I75" s="310"/>
      <c r="J75" s="310"/>
      <c r="K75" s="310"/>
      <c r="L75" s="310"/>
      <c r="M75" s="310"/>
      <c r="N75" s="310"/>
      <c r="O75" s="310"/>
      <c r="P75" s="310"/>
      <c r="Q75" s="310"/>
      <c r="R75" s="310"/>
      <c r="S75" s="310"/>
      <c r="T75" s="310"/>
      <c r="U75" s="310"/>
      <c r="V75" s="310"/>
      <c r="W75" s="310"/>
      <c r="X75" s="310"/>
      <c r="Y75" s="310"/>
      <c r="Z75" s="310"/>
      <c r="AA75" s="310"/>
      <c r="AB75" s="310"/>
      <c r="AC75" s="310"/>
      <c r="AD75" s="310"/>
      <c r="AE75" s="311"/>
    </row>
    <row r="76" ht="20.25" customHeight="1" spans="1:35">
      <c r="A76" s="312" t="s">
        <v>105</v>
      </c>
      <c r="B76" s="313"/>
      <c r="C76" s="313"/>
      <c r="D76" s="314"/>
      <c r="E76" s="314"/>
      <c r="F76" s="314"/>
      <c r="G76" s="314"/>
      <c r="H76" s="314"/>
      <c r="I76" s="314"/>
      <c r="J76" s="314"/>
      <c r="K76" s="314"/>
      <c r="L76" s="314"/>
      <c r="M76" s="314"/>
      <c r="N76" s="314"/>
      <c r="O76" s="314"/>
      <c r="P76" s="314"/>
      <c r="Q76" s="314"/>
      <c r="R76" s="314"/>
      <c r="S76" s="314"/>
      <c r="T76" s="314"/>
      <c r="U76" s="314"/>
      <c r="V76" s="314"/>
      <c r="W76" s="314"/>
      <c r="X76" s="314"/>
      <c r="Y76" s="314"/>
      <c r="Z76" s="314"/>
      <c r="AA76" s="314"/>
      <c r="AB76" s="314"/>
      <c r="AC76" s="314"/>
      <c r="AD76" s="314"/>
      <c r="AE76" s="315"/>
    </row>
    <row r="77" spans="1:35">
      <c r="A77" t="s">
        <v>106</v>
      </c>
      <c r="F77" s="316"/>
      <c r="G77" s="316"/>
      <c r="H77" s="316"/>
      <c r="I77" s="316"/>
      <c r="J77" s="316"/>
      <c r="K77" s="316"/>
      <c r="L77" s="316"/>
    </row>
  </sheetData>
  <sheetProtection selectLockedCells="1"/>
  <protectedRanges>
    <protectedRange sqref="P23:R23" name="Range3"/>
    <protectedRange sqref="A3:K7 E8:E9 H10:H11 E22:E23 E32:E33 U12 L22 R23 Y18:AE26 M28 L31 L33 Y30 T32:AE36 A35 E35 P58 J59 N63 A13:K21 A25:K31 S58:AE66 P17:R18 P19:P20 R19:R20 Q19:Q20 A40:AE42 S43:AE43 A44:AE53 A43:R43" name="Range2"/>
  </protectedRanges>
  <mergeCells count="217">
    <mergeCell ref="A2:K2"/>
    <mergeCell ref="A3:K3"/>
    <mergeCell ref="A4:K4"/>
    <mergeCell ref="Z4:AE4"/>
    <mergeCell ref="A5:K5"/>
    <mergeCell ref="A6:K6"/>
    <mergeCell ref="A7:K7"/>
    <mergeCell ref="C8:K8"/>
    <mergeCell ref="A9:D9"/>
    <mergeCell ref="E9:K9"/>
    <mergeCell ref="A10:G10"/>
    <mergeCell ref="H10:K10"/>
    <mergeCell ref="A11:K11"/>
    <mergeCell ref="A12:K12"/>
    <mergeCell ref="T17:AE17"/>
    <mergeCell ref="T18:X18"/>
    <mergeCell ref="Y18:AE18"/>
    <mergeCell ref="A21:K21"/>
    <mergeCell ref="L21:R21"/>
    <mergeCell ref="A22:D22"/>
    <mergeCell ref="E22:K22"/>
    <mergeCell ref="L22:R22"/>
    <mergeCell ref="A23:D23"/>
    <mergeCell ref="E23:K23"/>
    <mergeCell ref="L23:O23"/>
    <mergeCell ref="Q23:R23"/>
    <mergeCell ref="A24:K24"/>
    <mergeCell ref="L24:R24"/>
    <mergeCell ref="A25:K25"/>
    <mergeCell ref="M25:O25"/>
    <mergeCell ref="P25:R25"/>
    <mergeCell ref="A26:K26"/>
    <mergeCell ref="M26:O26"/>
    <mergeCell ref="P26:R26"/>
    <mergeCell ref="A27:K27"/>
    <mergeCell ref="M27:R27"/>
    <mergeCell ref="T27:AE27"/>
    <mergeCell ref="A28:K28"/>
    <mergeCell ref="M28:R28"/>
    <mergeCell ref="T28:AE28"/>
    <mergeCell ref="A29:K29"/>
    <mergeCell ref="L29:R29"/>
    <mergeCell ref="T29:AE29"/>
    <mergeCell ref="A30:K30"/>
    <mergeCell ref="L30:R30"/>
    <mergeCell ref="T30:X30"/>
    <mergeCell ref="Y30:AE30"/>
    <mergeCell ref="A31:K31"/>
    <mergeCell ref="L31:R31"/>
    <mergeCell ref="T31:AE31"/>
    <mergeCell ref="A32:D32"/>
    <mergeCell ref="E32:K32"/>
    <mergeCell ref="L32:R32"/>
    <mergeCell ref="A33:D33"/>
    <mergeCell ref="E33:K33"/>
    <mergeCell ref="L33:R33"/>
    <mergeCell ref="E34:K34"/>
    <mergeCell ref="L34:R34"/>
    <mergeCell ref="T35:AE35"/>
    <mergeCell ref="T36:AE36"/>
    <mergeCell ref="S39:T39"/>
    <mergeCell ref="AD39:AE39"/>
    <mergeCell ref="A40:D40"/>
    <mergeCell ref="E40:R40"/>
    <mergeCell ref="S40:T40"/>
    <mergeCell ref="W40:Y40"/>
    <mergeCell ref="AD40:AE40"/>
    <mergeCell ref="A41:D41"/>
    <mergeCell ref="E41:R41"/>
    <mergeCell ref="S41:T41"/>
    <mergeCell ref="W41:Y41"/>
    <mergeCell ref="AD41:AE41"/>
    <mergeCell ref="A42:D42"/>
    <mergeCell ref="E42:R42"/>
    <mergeCell ref="S42:T42"/>
    <mergeCell ref="W42:Y42"/>
    <mergeCell ref="AD42:AE42"/>
    <mergeCell ref="A43:D43"/>
    <mergeCell ref="E43:R43"/>
    <mergeCell ref="S43:T43"/>
    <mergeCell ref="W43:Y43"/>
    <mergeCell ref="AD43:AE43"/>
    <mergeCell ref="A44:D44"/>
    <mergeCell ref="E44:R44"/>
    <mergeCell ref="S44:T44"/>
    <mergeCell ref="W44:Y44"/>
    <mergeCell ref="AD44:AE44"/>
    <mergeCell ref="A45:D45"/>
    <mergeCell ref="E45:R45"/>
    <mergeCell ref="S45:T45"/>
    <mergeCell ref="W45:Y45"/>
    <mergeCell ref="AD45:AE45"/>
    <mergeCell ref="A46:D46"/>
    <mergeCell ref="E46:R46"/>
    <mergeCell ref="S46:T46"/>
    <mergeCell ref="W46:Y46"/>
    <mergeCell ref="AD46:AE46"/>
    <mergeCell ref="A47:D47"/>
    <mergeCell ref="E47:R47"/>
    <mergeCell ref="S47:T47"/>
    <mergeCell ref="W47:Y47"/>
    <mergeCell ref="AD47:AE47"/>
    <mergeCell ref="A48:D48"/>
    <mergeCell ref="E48:R48"/>
    <mergeCell ref="S48:T48"/>
    <mergeCell ref="W48:Y48"/>
    <mergeCell ref="AD48:AE48"/>
    <mergeCell ref="A49:D49"/>
    <mergeCell ref="E49:R49"/>
    <mergeCell ref="S49:T49"/>
    <mergeCell ref="W49:Y49"/>
    <mergeCell ref="AD49:AE49"/>
    <mergeCell ref="A50:D50"/>
    <mergeCell ref="E50:R50"/>
    <mergeCell ref="S50:T50"/>
    <mergeCell ref="W50:Y50"/>
    <mergeCell ref="AD50:AE50"/>
    <mergeCell ref="A51:D51"/>
    <mergeCell ref="E51:R51"/>
    <mergeCell ref="S51:T51"/>
    <mergeCell ref="W51:Y51"/>
    <mergeCell ref="AD51:AE51"/>
    <mergeCell ref="A52:D52"/>
    <mergeCell ref="E52:H52"/>
    <mergeCell ref="I52:R52"/>
    <mergeCell ref="S52:T52"/>
    <mergeCell ref="W52:Y52"/>
    <mergeCell ref="AD52:AE52"/>
    <mergeCell ref="A53:D53"/>
    <mergeCell ref="E53:H53"/>
    <mergeCell ref="I53:R53"/>
    <mergeCell ref="S53:T53"/>
    <mergeCell ref="W53:Y53"/>
    <mergeCell ref="AD53:AE53"/>
    <mergeCell ref="A58:I58"/>
    <mergeCell ref="J58:O58"/>
    <mergeCell ref="P58:R58"/>
    <mergeCell ref="S58:AE58"/>
    <mergeCell ref="A59:I59"/>
    <mergeCell ref="J59:R59"/>
    <mergeCell ref="S59:AE59"/>
    <mergeCell ref="D62:R62"/>
    <mergeCell ref="D63:K63"/>
    <mergeCell ref="L63:M63"/>
    <mergeCell ref="N63:R63"/>
    <mergeCell ref="D64:E64"/>
    <mergeCell ref="F64:R64"/>
    <mergeCell ref="D65:E65"/>
    <mergeCell ref="F65:R65"/>
    <mergeCell ref="F66:R66"/>
    <mergeCell ref="S66:AE66"/>
    <mergeCell ref="F67:R67"/>
    <mergeCell ref="S67:AE67"/>
    <mergeCell ref="D68:E68"/>
    <mergeCell ref="F68:R68"/>
    <mergeCell ref="D69:E69"/>
    <mergeCell ref="F69:R69"/>
    <mergeCell ref="F70:R70"/>
    <mergeCell ref="F71:R71"/>
    <mergeCell ref="A72:C72"/>
    <mergeCell ref="D72:R72"/>
    <mergeCell ref="S72:AE72"/>
    <mergeCell ref="A76:C76"/>
    <mergeCell ref="D76:AE76"/>
    <mergeCell ref="P15:P16"/>
    <mergeCell ref="P17:P18"/>
    <mergeCell ref="P19:P20"/>
    <mergeCell ref="Q15:Q16"/>
    <mergeCell ref="Q17:Q18"/>
    <mergeCell ref="Q19:Q20"/>
    <mergeCell ref="R15:R16"/>
    <mergeCell ref="R17:R18"/>
    <mergeCell ref="R19:R20"/>
    <mergeCell ref="S64:AE65"/>
    <mergeCell ref="A56:R57"/>
    <mergeCell ref="D70:E71"/>
    <mergeCell ref="D66:E67"/>
    <mergeCell ref="E37:R39"/>
    <mergeCell ref="A54:R55"/>
    <mergeCell ref="S37:V38"/>
    <mergeCell ref="A62:C71"/>
    <mergeCell ref="S68:AE71"/>
    <mergeCell ref="S54:V55"/>
    <mergeCell ref="W54:Y55"/>
    <mergeCell ref="S56:AE57"/>
    <mergeCell ref="Z54:AE55"/>
    <mergeCell ref="S62:AE63"/>
    <mergeCell ref="T25:X26"/>
    <mergeCell ref="T23:X24"/>
    <mergeCell ref="Y25:AE26"/>
    <mergeCell ref="A73:C75"/>
    <mergeCell ref="S60:AE61"/>
    <mergeCell ref="D73:AE75"/>
    <mergeCell ref="A60:I61"/>
    <mergeCell ref="J60:R61"/>
    <mergeCell ref="Y19:AE20"/>
    <mergeCell ref="T19:X20"/>
    <mergeCell ref="L15:O16"/>
    <mergeCell ref="L17:O18"/>
    <mergeCell ref="S15:AE16"/>
    <mergeCell ref="L8:AE9"/>
    <mergeCell ref="L10:AE11"/>
    <mergeCell ref="L12:P14"/>
    <mergeCell ref="Q13:T14"/>
    <mergeCell ref="U12:AE14"/>
    <mergeCell ref="W37:Y39"/>
    <mergeCell ref="Z37:AE38"/>
    <mergeCell ref="A35:D36"/>
    <mergeCell ref="E35:K36"/>
    <mergeCell ref="L35:R36"/>
    <mergeCell ref="Y23:AE24"/>
    <mergeCell ref="L19:O20"/>
    <mergeCell ref="Y21:AE22"/>
    <mergeCell ref="T21:X22"/>
    <mergeCell ref="A37:D39"/>
    <mergeCell ref="A13:K20"/>
    <mergeCell ref="T32:AE34"/>
  </mergeCells>
  <conditionalFormatting sqref="P17:R17">
    <cfRule type="expression" dxfId="0" priority="63" stopIfTrue="1">
      <formula>AND($P$17="",$Q$17="",$R$17="")</formula>
    </cfRule>
  </conditionalFormatting>
  <conditionalFormatting sqref="S17:AE17">
    <cfRule type="expression" dxfId="0" priority="52" stopIfTrue="1">
      <formula>AND($AJ$17=FALSE,$AI$29=FALSE)</formula>
    </cfRule>
  </conditionalFormatting>
  <conditionalFormatting sqref="Y18">
    <cfRule type="expression" dxfId="0" priority="73" stopIfTrue="1">
      <formula>AND(AJ17=TRUE,Y18="")</formula>
    </cfRule>
  </conditionalFormatting>
  <conditionalFormatting sqref="Q19">
    <cfRule type="expression" dxfId="0" priority="3" stopIfTrue="1">
      <formula>AND($P$17="",$Q$17="",$R$17="")</formula>
    </cfRule>
  </conditionalFormatting>
  <conditionalFormatting sqref="Y19">
    <cfRule type="expression" dxfId="0" priority="72" stopIfTrue="1">
      <formula>AND(AJ17=TRUE,Y19="")</formula>
    </cfRule>
  </conditionalFormatting>
  <conditionalFormatting sqref="L22:R22">
    <cfRule type="expression" dxfId="0" priority="49" stopIfTrue="1">
      <formula>AND(OR(R17&lt;&gt;"",R19&lt;&gt;""),L22="")</formula>
    </cfRule>
  </conditionalFormatting>
  <conditionalFormatting sqref="P23:Q23">
    <cfRule type="expression" dxfId="0" priority="43" stopIfTrue="1">
      <formula>P23=""</formula>
    </cfRule>
  </conditionalFormatting>
  <conditionalFormatting sqref="A25:K25">
    <cfRule type="expression" dxfId="0" priority="35" stopIfTrue="1">
      <formula>ISERROR(MATCH(TRUE,$AG$13:$AG$21,0))</formula>
    </cfRule>
  </conditionalFormatting>
  <conditionalFormatting sqref="M28:R28">
    <cfRule type="expression" dxfId="0" priority="64" stopIfTrue="1">
      <formula>AND(AI25=TRUE,M28="")</formula>
    </cfRule>
  </conditionalFormatting>
  <conditionalFormatting sqref="S29:AE29">
    <cfRule type="expression" dxfId="0" priority="51" stopIfTrue="1">
      <formula>AND($AJ$17=FALSE,$AI$29=FALSE)</formula>
    </cfRule>
  </conditionalFormatting>
  <conditionalFormatting sqref="Y30:AE30">
    <cfRule type="expression" dxfId="0" priority="67" stopIfTrue="1">
      <formula>AND(AI29=TRUE,Y30="")</formula>
    </cfRule>
  </conditionalFormatting>
  <conditionalFormatting sqref="L31:R31">
    <cfRule type="expression" dxfId="0" priority="47" stopIfTrue="1">
      <formula>AND(AH25=TRUE,L31="")</formula>
    </cfRule>
  </conditionalFormatting>
  <conditionalFormatting sqref="S40:U40">
    <cfRule type="expression" dxfId="0" priority="23" stopIfTrue="1">
      <formula>ISERROR(MATCH(TRUE,$AI$40:$AI$53,0))</formula>
    </cfRule>
  </conditionalFormatting>
  <conditionalFormatting sqref="V40">
    <cfRule type="expression" dxfId="0" priority="26" stopIfTrue="1">
      <formula>AND(U40="Plt",V40="")</formula>
    </cfRule>
  </conditionalFormatting>
  <conditionalFormatting sqref="W40:Y40">
    <cfRule type="expression" dxfId="0" priority="25" stopIfTrue="1">
      <formula>ISERROR(MATCH(TRUE,$AJ$40:$AJ$53,0))</formula>
    </cfRule>
  </conditionalFormatting>
  <conditionalFormatting sqref="Z40:AC40">
    <cfRule type="expression" dxfId="0" priority="24" stopIfTrue="1">
      <formula>ISERROR(MATCH(TRUE,$AK$40:$AK$53,0))</formula>
    </cfRule>
  </conditionalFormatting>
  <conditionalFormatting sqref="AD40">
    <cfRule type="expression" dxfId="0" priority="27" stopIfTrue="1">
      <formula>ISERROR(MATCH(TRUE,$AK$40:$AK$53,0))</formula>
    </cfRule>
  </conditionalFormatting>
  <conditionalFormatting sqref="S41:U41">
    <cfRule type="expression" dxfId="0" priority="18" stopIfTrue="1">
      <formula>ISERROR(MATCH(TRUE,$AI$40:$AI$53,0))</formula>
    </cfRule>
  </conditionalFormatting>
  <conditionalFormatting sqref="V41">
    <cfRule type="expression" dxfId="0" priority="21" stopIfTrue="1">
      <formula>AND(U41="Plt",V41="")</formula>
    </cfRule>
  </conditionalFormatting>
  <conditionalFormatting sqref="W41:Y41">
    <cfRule type="expression" dxfId="0" priority="20" stopIfTrue="1">
      <formula>ISERROR(MATCH(TRUE,$AJ$40:$AJ$53,0))</formula>
    </cfRule>
  </conditionalFormatting>
  <conditionalFormatting sqref="AD41">
    <cfRule type="expression" dxfId="0" priority="22" stopIfTrue="1">
      <formula>ISERROR(MATCH(TRUE,$AK$40:$AK$53,0))</formula>
    </cfRule>
  </conditionalFormatting>
  <conditionalFormatting sqref="S42:U42">
    <cfRule type="expression" dxfId="0" priority="13" stopIfTrue="1">
      <formula>ISERROR(MATCH(TRUE,$AI$40:$AI$53,0))</formula>
    </cfRule>
  </conditionalFormatting>
  <conditionalFormatting sqref="V42">
    <cfRule type="expression" dxfId="0" priority="16" stopIfTrue="1">
      <formula>AND(U42="Plt",V42="")</formula>
    </cfRule>
  </conditionalFormatting>
  <conditionalFormatting sqref="W42:Y42">
    <cfRule type="expression" dxfId="0" priority="15" stopIfTrue="1">
      <formula>ISERROR(MATCH(TRUE,$AJ$40:$AJ$53,0))</formula>
    </cfRule>
  </conditionalFormatting>
  <conditionalFormatting sqref="AD42">
    <cfRule type="expression" dxfId="0" priority="17" stopIfTrue="1">
      <formula>ISERROR(MATCH(TRUE,$AK$40:$AK$53,0))</formula>
    </cfRule>
  </conditionalFormatting>
  <conditionalFormatting sqref="A43:D43">
    <cfRule type="expression" dxfId="0" priority="2" stopIfTrue="1">
      <formula>AND($AH$25=TRUE,ISERROR(MATCH(TRUE,$AG$40:$AG$51,0)))</formula>
    </cfRule>
  </conditionalFormatting>
  <conditionalFormatting sqref="E43:R43">
    <cfRule type="expression" dxfId="0" priority="1" stopIfTrue="1">
      <formula>ISERROR(MATCH(TRUE,$AH$40:$AH$51,0))</formula>
    </cfRule>
  </conditionalFormatting>
  <conditionalFormatting sqref="S43:U43">
    <cfRule type="expression" dxfId="0" priority="8" stopIfTrue="1">
      <formula>ISERROR(MATCH(TRUE,$AI$40:$AI$53,0))</formula>
    </cfRule>
  </conditionalFormatting>
  <conditionalFormatting sqref="V43">
    <cfRule type="expression" dxfId="0" priority="11" stopIfTrue="1">
      <formula>AND(U43="Plt",V43="")</formula>
    </cfRule>
  </conditionalFormatting>
  <conditionalFormatting sqref="W43:Y43">
    <cfRule type="expression" dxfId="0" priority="10" stopIfTrue="1">
      <formula>ISERROR(MATCH(TRUE,$AJ$40:$AJ$53,0))</formula>
    </cfRule>
  </conditionalFormatting>
  <conditionalFormatting sqref="AD43">
    <cfRule type="expression" dxfId="0" priority="12" stopIfTrue="1">
      <formula>ISERROR(MATCH(TRUE,$AK$40:$AK$53,0))</formula>
    </cfRule>
  </conditionalFormatting>
  <conditionalFormatting sqref="J58:M58">
    <cfRule type="expression" dxfId="0" priority="57" stopIfTrue="1">
      <formula>AND($AG$58=FALSE,$AH$58=FALSE)</formula>
    </cfRule>
  </conditionalFormatting>
  <conditionalFormatting sqref="P58:R58">
    <cfRule type="expression" dxfId="0" priority="48" stopIfTrue="1">
      <formula>AND(AH58=TRUE,P58="")</formula>
    </cfRule>
  </conditionalFormatting>
  <conditionalFormatting sqref="D63:K63">
    <cfRule type="expression" dxfId="0" priority="55" stopIfTrue="1">
      <formula>AND($AG$63=FALSE,$AH$63=FALSE)</formula>
    </cfRule>
  </conditionalFormatting>
  <conditionalFormatting sqref="N63:R63">
    <cfRule type="expression" dxfId="0" priority="54" stopIfTrue="1">
      <formula>AND(AH63=TRUE,N63="")</formula>
    </cfRule>
  </conditionalFormatting>
  <conditionalFormatting sqref="D72:R72">
    <cfRule type="expression" dxfId="0" priority="41" stopIfTrue="1">
      <formula>AND(AH63=TRUE,AG72=FALSE,AH72=FALSE)</formula>
    </cfRule>
  </conditionalFormatting>
  <conditionalFormatting sqref="V44:V53">
    <cfRule type="expression" dxfId="0" priority="60" stopIfTrue="1">
      <formula>AND(U44="Plt",V44="")</formula>
    </cfRule>
  </conditionalFormatting>
  <conditionalFormatting sqref="Z41:Z43">
    <cfRule type="expression" dxfId="0" priority="5" stopIfTrue="1">
      <formula>ISERROR(MATCH(TRUE,$AK$40:$AK$53,0))</formula>
    </cfRule>
  </conditionalFormatting>
  <conditionalFormatting sqref="AB41:AB43">
    <cfRule type="expression" dxfId="0" priority="4" stopIfTrue="1">
      <formula>ISERROR(MATCH(TRUE,$AK$40:$AK$53,0))</formula>
    </cfRule>
  </conditionalFormatting>
  <conditionalFormatting sqref="AD44:AD53">
    <cfRule type="expression" dxfId="0" priority="36" stopIfTrue="1">
      <formula>ISERROR(MATCH(TRUE,$AK$40:$AK$53,0))</formula>
    </cfRule>
  </conditionalFormatting>
  <conditionalFormatting sqref="A3:K7">
    <cfRule type="expression" dxfId="0" priority="7" stopIfTrue="1">
      <formula>ISERROR(MATCH(TRUE,$AG$13:$AG$21,0))</formula>
    </cfRule>
  </conditionalFormatting>
  <conditionalFormatting sqref="A13 A21:K21">
    <cfRule type="expression" dxfId="0" priority="78" stopIfTrue="1">
      <formula>ISERROR(MATCH(TRUE,$AG$13:$AG$21,0))</formula>
    </cfRule>
  </conditionalFormatting>
  <conditionalFormatting sqref="P19:P20 R19:R20">
    <cfRule type="expression" dxfId="0" priority="40" stopIfTrue="1">
      <formula>AND($P$19="",$Q$19="",$R$19="")</formula>
    </cfRule>
  </conditionalFormatting>
  <conditionalFormatting sqref="Y21:AE22">
    <cfRule type="expression" dxfId="0" priority="70" stopIfTrue="1">
      <formula>AND(AJ17=TRUE,Y21="")</formula>
    </cfRule>
  </conditionalFormatting>
  <conditionalFormatting sqref="Y23:AE24">
    <cfRule type="expression" dxfId="0" priority="69" stopIfTrue="1">
      <formula>AND(AJ17=TRUE,Y23="")</formula>
    </cfRule>
  </conditionalFormatting>
  <conditionalFormatting sqref="L25:R27">
    <cfRule type="expression" dxfId="0" priority="42" stopIfTrue="1">
      <formula>AND($AG$25=FALSE,$AH$25=FALSE,$AI$25=FALSE)</formula>
    </cfRule>
  </conditionalFormatting>
  <conditionalFormatting sqref="Y25:AE26">
    <cfRule type="expression" dxfId="0" priority="68" stopIfTrue="1">
      <formula>AND(AJ17=TRUE,Y25="")</formula>
    </cfRule>
  </conditionalFormatting>
  <conditionalFormatting sqref="T32 T35:AE36">
    <cfRule type="expression" dxfId="0" priority="45" stopIfTrue="1">
      <formula>AND($AI$29=TRUE,ISERROR(MATCH(TRUE,$AG$32:$AG$36,0)))</formula>
    </cfRule>
  </conditionalFormatting>
  <conditionalFormatting sqref="A35:D36">
    <cfRule type="expression" dxfId="0" priority="66" stopIfTrue="1">
      <formula>A35=""</formula>
    </cfRule>
  </conditionalFormatting>
  <conditionalFormatting sqref="E35:K36">
    <cfRule type="expression" dxfId="0" priority="65" stopIfTrue="1">
      <formula>E35=""</formula>
    </cfRule>
  </conditionalFormatting>
  <conditionalFormatting sqref="A40:D42 A44:D53">
    <cfRule type="expression" dxfId="0" priority="62" stopIfTrue="1">
      <formula>AND($AH$25=TRUE,ISERROR(MATCH(TRUE,$AG$40:$AG$51,0)))</formula>
    </cfRule>
  </conditionalFormatting>
  <conditionalFormatting sqref="E40:R42 E44:R51">
    <cfRule type="expression" dxfId="0" priority="61" stopIfTrue="1">
      <formula>ISERROR(MATCH(TRUE,$AH$40:$AH$51,0))</formula>
    </cfRule>
  </conditionalFormatting>
  <conditionalFormatting sqref="AA41 AC41">
    <cfRule type="expression" dxfId="0" priority="19" stopIfTrue="1">
      <formula>ISERROR(MATCH(TRUE,$AK$40:$AK$53,0))</formula>
    </cfRule>
  </conditionalFormatting>
  <conditionalFormatting sqref="AA42 AC42">
    <cfRule type="expression" dxfId="0" priority="14" stopIfTrue="1">
      <formula>ISERROR(MATCH(TRUE,$AK$40:$AK$53,0))</formula>
    </cfRule>
  </conditionalFormatting>
  <conditionalFormatting sqref="AA43 AC43">
    <cfRule type="expression" dxfId="0" priority="9" stopIfTrue="1">
      <formula>ISERROR(MATCH(TRUE,$AK$40:$AK$53,0))</formula>
    </cfRule>
  </conditionalFormatting>
  <conditionalFormatting sqref="S44:U53">
    <cfRule type="expression" dxfId="0" priority="44" stopIfTrue="1">
      <formula>ISERROR(MATCH(TRUE,$AI$40:$AI$53,0))</formula>
    </cfRule>
  </conditionalFormatting>
  <conditionalFormatting sqref="W44:Y53">
    <cfRule type="expression" dxfId="0" priority="59" stopIfTrue="1">
      <formula>ISERROR(MATCH(TRUE,$AJ$40:$AJ$53,0))</formula>
    </cfRule>
  </conditionalFormatting>
  <conditionalFormatting sqref="Z44:AC53">
    <cfRule type="expression" dxfId="0" priority="58" stopIfTrue="1">
      <formula>ISERROR(MATCH(TRUE,$AK$40:$AK$53,0))</formula>
    </cfRule>
  </conditionalFormatting>
  <conditionalFormatting sqref="J60:R61">
    <cfRule type="expression" dxfId="0" priority="56" stopIfTrue="1">
      <formula>AND($AG$60=FALSE,$AH$60=FALSE)</formula>
    </cfRule>
  </conditionalFormatting>
  <conditionalFormatting sqref="F64:R71">
    <cfRule type="expression" dxfId="0" priority="53" stopIfTrue="1">
      <formula>AND($AH$63=TRUE,AND(ISERROR(MATCH(TRUE,$AG$64:$AG$71,0)),ISERROR(MATCH(TRUE,$AH$64:$AH$71,0)),ISERROR(MATCH(TRUE,$AI$64:$AI$71,0))))</formula>
    </cfRule>
  </conditionalFormatting>
  <dataValidations count="6">
    <dataValidation type="list" allowBlank="1" showInputMessage="1" showErrorMessage="1" prompt="Please select (請選擇)" sqref="P23">
      <formula1>"EXW,FCA,FOB,CIF,CPT,CIP,DAP,DPU,DDP"</formula1>
    </dataValidation>
    <dataValidation allowBlank="1" showInputMessage="1" showErrorMessage="1" prompt="Input Port or Place&#10;請填寫港口或地點" sqref="Q23:R23"/>
    <dataValidation type="custom" allowBlank="1" showInputMessage="1" showErrorMessage="1" errorTitle="13" error="123" sqref="AG25">
      <formula1>"OR(AI25=""TRUE"",AJ25=""TRUE"")"</formula1>
    </dataValidation>
    <dataValidation type="list" allowBlank="1" showInputMessage="1" showErrorMessage="1" sqref="U40:U53">
      <formula1>"Ctn,Plt,Pcs,W/C,Drum,Roll"</formula1>
    </dataValidation>
    <dataValidation allowBlank="1" showInputMessage="1" showErrorMessage="1" prompt="Remark: Inner carton declaration (Invisible package count as 1 unit)&#10;註: 內箱申報(密封包裝視為1件)" sqref="V40:V53"/>
    <dataValidation type="list" allowBlank="1" showInputMessage="1" showErrorMessage="1" sqref="AC40:AC53">
      <formula1>"CM,M,MM"</formula1>
    </dataValidation>
  </dataValidations>
  <hyperlinks>
    <hyperlink ref="A16" r:id="rId35"/>
    <hyperlink ref="L6" r:id="rId36" display="Tel:8620-87324730(USA) 8620-38928177(NON-USA)"/>
    <hyperlink ref="T21" r:id="rId37" display="Tel:(电话)"/>
  </hyperlinks>
  <pageMargins left="0.25" right="0.25" top="0.5" bottom="0.5" header="0.3" footer="0.3"/>
  <pageSetup paperSize="9" scale="63" orientation="portrait"/>
  <headerFooter>
    <oddFooter>&amp;C
&amp;ROwner: Leo Wu
Last revision date: 03/01/2025</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90" name="Check Box 66" r:id="rId3">
              <controlPr locked="0" defaultSize="0">
                <anchor moveWithCells="1">
                  <from>
                    <xdr:col>5</xdr:col>
                    <xdr:colOff>0</xdr:colOff>
                    <xdr:row>66</xdr:row>
                    <xdr:rowOff>38100</xdr:rowOff>
                  </from>
                  <to>
                    <xdr:col>6</xdr:col>
                    <xdr:colOff>266700</xdr:colOff>
                    <xdr:row>66</xdr:row>
                    <xdr:rowOff>228600</xdr:rowOff>
                  </to>
                </anchor>
              </controlPr>
            </control>
          </mc:Choice>
        </mc:AlternateContent>
        <mc:AlternateContent xmlns:mc="http://schemas.openxmlformats.org/markup-compatibility/2006">
          <mc:Choice Requires="x14">
            <control shapeId="1105" name="Check Box 81" r:id="rId4">
              <controlPr locked="0" defaultSize="0">
                <anchor moveWithCells="1">
                  <from>
                    <xdr:col>9</xdr:col>
                    <xdr:colOff>38100</xdr:colOff>
                    <xdr:row>59</xdr:row>
                    <xdr:rowOff>0</xdr:rowOff>
                  </from>
                  <to>
                    <xdr:col>11</xdr:col>
                    <xdr:colOff>9525</xdr:colOff>
                    <xdr:row>60</xdr:row>
                    <xdr:rowOff>76200</xdr:rowOff>
                  </to>
                </anchor>
              </controlPr>
            </control>
          </mc:Choice>
        </mc:AlternateContent>
        <mc:AlternateContent xmlns:mc="http://schemas.openxmlformats.org/markup-compatibility/2006">
          <mc:Choice Requires="x14">
            <control shapeId="1106" name="Check Box 82" r:id="rId5">
              <controlPr defaultSize="0">
                <anchor moveWithCells="1">
                  <from>
                    <xdr:col>11</xdr:col>
                    <xdr:colOff>0</xdr:colOff>
                    <xdr:row>59</xdr:row>
                    <xdr:rowOff>0</xdr:rowOff>
                  </from>
                  <to>
                    <xdr:col>13</xdr:col>
                    <xdr:colOff>200025</xdr:colOff>
                    <xdr:row>61</xdr:row>
                    <xdr:rowOff>0</xdr:rowOff>
                  </to>
                </anchor>
              </controlPr>
            </control>
          </mc:Choice>
        </mc:AlternateContent>
        <mc:AlternateContent xmlns:mc="http://schemas.openxmlformats.org/markup-compatibility/2006">
          <mc:Choice Requires="x14">
            <control shapeId="1109" name="Check Box 85" r:id="rId6">
              <controlPr defaultSize="0">
                <anchor moveWithCells="1">
                  <from>
                    <xdr:col>3</xdr:col>
                    <xdr:colOff>19050</xdr:colOff>
                    <xdr:row>71</xdr:row>
                    <xdr:rowOff>66675</xdr:rowOff>
                  </from>
                  <to>
                    <xdr:col>6</xdr:col>
                    <xdr:colOff>57150</xdr:colOff>
                    <xdr:row>71</xdr:row>
                    <xdr:rowOff>247650</xdr:rowOff>
                  </to>
                </anchor>
              </controlPr>
            </control>
          </mc:Choice>
        </mc:AlternateContent>
        <mc:AlternateContent xmlns:mc="http://schemas.openxmlformats.org/markup-compatibility/2006">
          <mc:Choice Requires="x14">
            <control shapeId="1110" name="Check Box 86" r:id="rId7">
              <controlPr defaultSize="0">
                <anchor moveWithCells="1">
                  <from>
                    <xdr:col>7</xdr:col>
                    <xdr:colOff>66675</xdr:colOff>
                    <xdr:row>71</xdr:row>
                    <xdr:rowOff>76200</xdr:rowOff>
                  </from>
                  <to>
                    <xdr:col>10</xdr:col>
                    <xdr:colOff>76200</xdr:colOff>
                    <xdr:row>71</xdr:row>
                    <xdr:rowOff>266700</xdr:rowOff>
                  </to>
                </anchor>
              </controlPr>
            </control>
          </mc:Choice>
        </mc:AlternateContent>
        <mc:AlternateContent xmlns:mc="http://schemas.openxmlformats.org/markup-compatibility/2006">
          <mc:Choice Requires="x14">
            <control shapeId="1113" name="Check Box 89" r:id="rId8">
              <controlPr defaultSize="0">
                <anchor moveWithCells="1">
                  <from>
                    <xdr:col>9</xdr:col>
                    <xdr:colOff>19050</xdr:colOff>
                    <xdr:row>57</xdr:row>
                    <xdr:rowOff>19050</xdr:rowOff>
                  </from>
                  <to>
                    <xdr:col>11</xdr:col>
                    <xdr:colOff>0</xdr:colOff>
                    <xdr:row>57</xdr:row>
                    <xdr:rowOff>200025</xdr:rowOff>
                  </to>
                </anchor>
              </controlPr>
            </control>
          </mc:Choice>
        </mc:AlternateContent>
        <mc:AlternateContent xmlns:mc="http://schemas.openxmlformats.org/markup-compatibility/2006">
          <mc:Choice Requires="x14">
            <control shapeId="1114" name="Check Box 90" r:id="rId9">
              <controlPr defaultSize="0">
                <anchor moveWithCells="1">
                  <from>
                    <xdr:col>11</xdr:col>
                    <xdr:colOff>0</xdr:colOff>
                    <xdr:row>57</xdr:row>
                    <xdr:rowOff>19050</xdr:rowOff>
                  </from>
                  <to>
                    <xdr:col>13</xdr:col>
                    <xdr:colOff>28575</xdr:colOff>
                    <xdr:row>57</xdr:row>
                    <xdr:rowOff>209550</xdr:rowOff>
                  </to>
                </anchor>
              </controlPr>
            </control>
          </mc:Choice>
        </mc:AlternateContent>
        <mc:AlternateContent xmlns:mc="http://schemas.openxmlformats.org/markup-compatibility/2006">
          <mc:Choice Requires="x14">
            <control shapeId="1142" name="Check Box 118" r:id="rId10">
              <controlPr locked="0" defaultSize="0">
                <anchor moveWithCells="1">
                  <from>
                    <xdr:col>5</xdr:col>
                    <xdr:colOff>0</xdr:colOff>
                    <xdr:row>63</xdr:row>
                    <xdr:rowOff>38100</xdr:rowOff>
                  </from>
                  <to>
                    <xdr:col>6</xdr:col>
                    <xdr:colOff>266700</xdr:colOff>
                    <xdr:row>63</xdr:row>
                    <xdr:rowOff>228600</xdr:rowOff>
                  </to>
                </anchor>
              </controlPr>
            </control>
          </mc:Choice>
        </mc:AlternateContent>
        <mc:AlternateContent xmlns:mc="http://schemas.openxmlformats.org/markup-compatibility/2006">
          <mc:Choice Requires="x14">
            <control shapeId="1143" name="Check Box 119" r:id="rId11">
              <controlPr locked="0" defaultSize="0">
                <anchor moveWithCells="1">
                  <from>
                    <xdr:col>10</xdr:col>
                    <xdr:colOff>0</xdr:colOff>
                    <xdr:row>63</xdr:row>
                    <xdr:rowOff>28575</xdr:rowOff>
                  </from>
                  <to>
                    <xdr:col>10</xdr:col>
                    <xdr:colOff>609600</xdr:colOff>
                    <xdr:row>63</xdr:row>
                    <xdr:rowOff>219075</xdr:rowOff>
                  </to>
                </anchor>
              </controlPr>
            </control>
          </mc:Choice>
        </mc:AlternateContent>
        <mc:AlternateContent xmlns:mc="http://schemas.openxmlformats.org/markup-compatibility/2006">
          <mc:Choice Requires="x14">
            <control shapeId="1144" name="Check Box 120" r:id="rId12">
              <controlPr locked="0" defaultSize="0">
                <anchor moveWithCells="1">
                  <from>
                    <xdr:col>12</xdr:col>
                    <xdr:colOff>161925</xdr:colOff>
                    <xdr:row>63</xdr:row>
                    <xdr:rowOff>28575</xdr:rowOff>
                  </from>
                  <to>
                    <xdr:col>14</xdr:col>
                    <xdr:colOff>209550</xdr:colOff>
                    <xdr:row>63</xdr:row>
                    <xdr:rowOff>219075</xdr:rowOff>
                  </to>
                </anchor>
              </controlPr>
            </control>
          </mc:Choice>
        </mc:AlternateContent>
        <mc:AlternateContent xmlns:mc="http://schemas.openxmlformats.org/markup-compatibility/2006">
          <mc:Choice Requires="x14">
            <control shapeId="1155" name="Check Box 131" r:id="rId13">
              <controlPr locked="0" defaultSize="0">
                <anchor moveWithCells="1">
                  <from>
                    <xdr:col>18</xdr:col>
                    <xdr:colOff>9525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58" name="Check Box 134" r:id="rId14">
              <controlPr locked="0" defaultSize="0">
                <anchor moveWithCells="1">
                  <from>
                    <xdr:col>5</xdr:col>
                    <xdr:colOff>0</xdr:colOff>
                    <xdr:row>64</xdr:row>
                    <xdr:rowOff>38100</xdr:rowOff>
                  </from>
                  <to>
                    <xdr:col>6</xdr:col>
                    <xdr:colOff>266700</xdr:colOff>
                    <xdr:row>64</xdr:row>
                    <xdr:rowOff>228600</xdr:rowOff>
                  </to>
                </anchor>
              </controlPr>
            </control>
          </mc:Choice>
        </mc:AlternateContent>
        <mc:AlternateContent xmlns:mc="http://schemas.openxmlformats.org/markup-compatibility/2006">
          <mc:Choice Requires="x14">
            <control shapeId="1159" name="Check Box 135" r:id="rId15">
              <controlPr locked="0" defaultSize="0">
                <anchor moveWithCells="1">
                  <from>
                    <xdr:col>10</xdr:col>
                    <xdr:colOff>0</xdr:colOff>
                    <xdr:row>64</xdr:row>
                    <xdr:rowOff>28575</xdr:rowOff>
                  </from>
                  <to>
                    <xdr:col>10</xdr:col>
                    <xdr:colOff>609600</xdr:colOff>
                    <xdr:row>64</xdr:row>
                    <xdr:rowOff>219075</xdr:rowOff>
                  </to>
                </anchor>
              </controlPr>
            </control>
          </mc:Choice>
        </mc:AlternateContent>
        <mc:AlternateContent xmlns:mc="http://schemas.openxmlformats.org/markup-compatibility/2006">
          <mc:Choice Requires="x14">
            <control shapeId="1161" name="Check Box 137" r:id="rId16">
              <controlPr locked="0" defaultSize="0">
                <anchor moveWithCells="1">
                  <from>
                    <xdr:col>10</xdr:col>
                    <xdr:colOff>0</xdr:colOff>
                    <xdr:row>65</xdr:row>
                    <xdr:rowOff>19050</xdr:rowOff>
                  </from>
                  <to>
                    <xdr:col>10</xdr:col>
                    <xdr:colOff>609600</xdr:colOff>
                    <xdr:row>65</xdr:row>
                    <xdr:rowOff>209550</xdr:rowOff>
                  </to>
                </anchor>
              </controlPr>
            </control>
          </mc:Choice>
        </mc:AlternateContent>
        <mc:AlternateContent xmlns:mc="http://schemas.openxmlformats.org/markup-compatibility/2006">
          <mc:Choice Requires="x14">
            <control shapeId="1162" name="Check Box 138" r:id="rId17">
              <controlPr locked="0" defaultSize="0">
                <anchor moveWithCells="1">
                  <from>
                    <xdr:col>12</xdr:col>
                    <xdr:colOff>152400</xdr:colOff>
                    <xdr:row>65</xdr:row>
                    <xdr:rowOff>19050</xdr:rowOff>
                  </from>
                  <to>
                    <xdr:col>14</xdr:col>
                    <xdr:colOff>200025</xdr:colOff>
                    <xdr:row>65</xdr:row>
                    <xdr:rowOff>209550</xdr:rowOff>
                  </to>
                </anchor>
              </controlPr>
            </control>
          </mc:Choice>
        </mc:AlternateContent>
        <mc:AlternateContent xmlns:mc="http://schemas.openxmlformats.org/markup-compatibility/2006">
          <mc:Choice Requires="x14">
            <control shapeId="1163" name="Check Box 139" r:id="rId18">
              <controlPr locked="0" defaultSize="0">
                <anchor moveWithCells="1">
                  <from>
                    <xdr:col>5</xdr:col>
                    <xdr:colOff>9525</xdr:colOff>
                    <xdr:row>65</xdr:row>
                    <xdr:rowOff>38100</xdr:rowOff>
                  </from>
                  <to>
                    <xdr:col>6</xdr:col>
                    <xdr:colOff>276225</xdr:colOff>
                    <xdr:row>65</xdr:row>
                    <xdr:rowOff>228600</xdr:rowOff>
                  </to>
                </anchor>
              </controlPr>
            </control>
          </mc:Choice>
        </mc:AlternateContent>
        <mc:AlternateContent xmlns:mc="http://schemas.openxmlformats.org/markup-compatibility/2006">
          <mc:Choice Requires="x14">
            <control shapeId="1164" name="Check Box 140" r:id="rId19">
              <controlPr locked="0" defaultSize="0">
                <anchor moveWithCells="1">
                  <from>
                    <xdr:col>5</xdr:col>
                    <xdr:colOff>0</xdr:colOff>
                    <xdr:row>70</xdr:row>
                    <xdr:rowOff>38100</xdr:rowOff>
                  </from>
                  <to>
                    <xdr:col>6</xdr:col>
                    <xdr:colOff>266700</xdr:colOff>
                    <xdr:row>70</xdr:row>
                    <xdr:rowOff>228600</xdr:rowOff>
                  </to>
                </anchor>
              </controlPr>
            </control>
          </mc:Choice>
        </mc:AlternateContent>
        <mc:AlternateContent xmlns:mc="http://schemas.openxmlformats.org/markup-compatibility/2006">
          <mc:Choice Requires="x14">
            <control shapeId="1165" name="Check Box 141" r:id="rId20">
              <controlPr locked="0" defaultSize="0">
                <anchor moveWithCells="1">
                  <from>
                    <xdr:col>5</xdr:col>
                    <xdr:colOff>0</xdr:colOff>
                    <xdr:row>67</xdr:row>
                    <xdr:rowOff>38100</xdr:rowOff>
                  </from>
                  <to>
                    <xdr:col>6</xdr:col>
                    <xdr:colOff>266700</xdr:colOff>
                    <xdr:row>67</xdr:row>
                    <xdr:rowOff>228600</xdr:rowOff>
                  </to>
                </anchor>
              </controlPr>
            </control>
          </mc:Choice>
        </mc:AlternateContent>
        <mc:AlternateContent xmlns:mc="http://schemas.openxmlformats.org/markup-compatibility/2006">
          <mc:Choice Requires="x14">
            <control shapeId="1166" name="Check Box 142" r:id="rId21">
              <controlPr locked="0" defaultSize="0">
                <anchor moveWithCells="1">
                  <from>
                    <xdr:col>10</xdr:col>
                    <xdr:colOff>0</xdr:colOff>
                    <xdr:row>67</xdr:row>
                    <xdr:rowOff>28575</xdr:rowOff>
                  </from>
                  <to>
                    <xdr:col>10</xdr:col>
                    <xdr:colOff>609600</xdr:colOff>
                    <xdr:row>67</xdr:row>
                    <xdr:rowOff>219075</xdr:rowOff>
                  </to>
                </anchor>
              </controlPr>
            </control>
          </mc:Choice>
        </mc:AlternateContent>
        <mc:AlternateContent xmlns:mc="http://schemas.openxmlformats.org/markup-compatibility/2006">
          <mc:Choice Requires="x14">
            <control shapeId="1167" name="Check Box 143" r:id="rId22">
              <controlPr locked="0" defaultSize="0">
                <anchor moveWithCells="1">
                  <from>
                    <xdr:col>12</xdr:col>
                    <xdr:colOff>161925</xdr:colOff>
                    <xdr:row>67</xdr:row>
                    <xdr:rowOff>28575</xdr:rowOff>
                  </from>
                  <to>
                    <xdr:col>14</xdr:col>
                    <xdr:colOff>209550</xdr:colOff>
                    <xdr:row>67</xdr:row>
                    <xdr:rowOff>219075</xdr:rowOff>
                  </to>
                </anchor>
              </controlPr>
            </control>
          </mc:Choice>
        </mc:AlternateContent>
        <mc:AlternateContent xmlns:mc="http://schemas.openxmlformats.org/markup-compatibility/2006">
          <mc:Choice Requires="x14">
            <control shapeId="1168" name="Check Box 144" r:id="rId23">
              <controlPr locked="0" defaultSize="0">
                <anchor moveWithCells="1">
                  <from>
                    <xdr:col>5</xdr:col>
                    <xdr:colOff>0</xdr:colOff>
                    <xdr:row>68</xdr:row>
                    <xdr:rowOff>38100</xdr:rowOff>
                  </from>
                  <to>
                    <xdr:col>6</xdr:col>
                    <xdr:colOff>266700</xdr:colOff>
                    <xdr:row>68</xdr:row>
                    <xdr:rowOff>228600</xdr:rowOff>
                  </to>
                </anchor>
              </controlPr>
            </control>
          </mc:Choice>
        </mc:AlternateContent>
        <mc:AlternateContent xmlns:mc="http://schemas.openxmlformats.org/markup-compatibility/2006">
          <mc:Choice Requires="x14">
            <control shapeId="1169" name="Check Box 145" r:id="rId24">
              <controlPr locked="0" defaultSize="0">
                <anchor moveWithCells="1">
                  <from>
                    <xdr:col>10</xdr:col>
                    <xdr:colOff>0</xdr:colOff>
                    <xdr:row>68</xdr:row>
                    <xdr:rowOff>28575</xdr:rowOff>
                  </from>
                  <to>
                    <xdr:col>10</xdr:col>
                    <xdr:colOff>609600</xdr:colOff>
                    <xdr:row>68</xdr:row>
                    <xdr:rowOff>219075</xdr:rowOff>
                  </to>
                </anchor>
              </controlPr>
            </control>
          </mc:Choice>
        </mc:AlternateContent>
        <mc:AlternateContent xmlns:mc="http://schemas.openxmlformats.org/markup-compatibility/2006">
          <mc:Choice Requires="x14">
            <control shapeId="1170" name="Check Box 146" r:id="rId25">
              <controlPr locked="0" defaultSize="0">
                <anchor moveWithCells="1">
                  <from>
                    <xdr:col>10</xdr:col>
                    <xdr:colOff>0</xdr:colOff>
                    <xdr:row>69</xdr:row>
                    <xdr:rowOff>19050</xdr:rowOff>
                  </from>
                  <to>
                    <xdr:col>10</xdr:col>
                    <xdr:colOff>609600</xdr:colOff>
                    <xdr:row>69</xdr:row>
                    <xdr:rowOff>209550</xdr:rowOff>
                  </to>
                </anchor>
              </controlPr>
            </control>
          </mc:Choice>
        </mc:AlternateContent>
        <mc:AlternateContent xmlns:mc="http://schemas.openxmlformats.org/markup-compatibility/2006">
          <mc:Choice Requires="x14">
            <control shapeId="1171" name="Check Box 147" r:id="rId26">
              <controlPr locked="0" defaultSize="0">
                <anchor moveWithCells="1">
                  <from>
                    <xdr:col>12</xdr:col>
                    <xdr:colOff>152400</xdr:colOff>
                    <xdr:row>69</xdr:row>
                    <xdr:rowOff>19050</xdr:rowOff>
                  </from>
                  <to>
                    <xdr:col>14</xdr:col>
                    <xdr:colOff>200025</xdr:colOff>
                    <xdr:row>69</xdr:row>
                    <xdr:rowOff>209550</xdr:rowOff>
                  </to>
                </anchor>
              </controlPr>
            </control>
          </mc:Choice>
        </mc:AlternateContent>
        <mc:AlternateContent xmlns:mc="http://schemas.openxmlformats.org/markup-compatibility/2006">
          <mc:Choice Requires="x14">
            <control shapeId="1172" name="Check Box 148" r:id="rId27">
              <controlPr locked="0" defaultSize="0">
                <anchor moveWithCells="1">
                  <from>
                    <xdr:col>5</xdr:col>
                    <xdr:colOff>9525</xdr:colOff>
                    <xdr:row>69</xdr:row>
                    <xdr:rowOff>38100</xdr:rowOff>
                  </from>
                  <to>
                    <xdr:col>6</xdr:col>
                    <xdr:colOff>276225</xdr:colOff>
                    <xdr:row>69</xdr:row>
                    <xdr:rowOff>228600</xdr:rowOff>
                  </to>
                </anchor>
              </controlPr>
            </control>
          </mc:Choice>
        </mc:AlternateContent>
        <mc:AlternateContent xmlns:mc="http://schemas.openxmlformats.org/markup-compatibility/2006">
          <mc:Choice Requires="x14">
            <control shapeId="1177" name="Check Box 153" r:id="rId28">
              <controlPr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8" name="Check Box 154" r:id="rId29">
              <controlPr locked="0"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9" name="Check Box 155" r:id="rId30">
              <controlPr locked="0" defaultSize="0">
                <anchor moveWithCells="1">
                  <from>
                    <xdr:col>11</xdr:col>
                    <xdr:colOff>28575</xdr:colOff>
                    <xdr:row>25</xdr:row>
                    <xdr:rowOff>180975</xdr:rowOff>
                  </from>
                  <to>
                    <xdr:col>12</xdr:col>
                    <xdr:colOff>0</xdr:colOff>
                    <xdr:row>27</xdr:row>
                    <xdr:rowOff>0</xdr:rowOff>
                  </to>
                </anchor>
              </controlPr>
            </control>
          </mc:Choice>
        </mc:AlternateContent>
        <mc:AlternateContent xmlns:mc="http://schemas.openxmlformats.org/markup-compatibility/2006">
          <mc:Choice Requires="x14">
            <control shapeId="1180" name="Check Box 156" r:id="rId31">
              <controlPr defaultSize="0">
                <anchor moveWithCells="1">
                  <from>
                    <xdr:col>14</xdr:col>
                    <xdr:colOff>66675</xdr:colOff>
                    <xdr:row>23</xdr:row>
                    <xdr:rowOff>171450</xdr:rowOff>
                  </from>
                  <to>
                    <xdr:col>15</xdr:col>
                    <xdr:colOff>238125</xdr:colOff>
                    <xdr:row>24</xdr:row>
                    <xdr:rowOff>180975</xdr:rowOff>
                  </to>
                </anchor>
              </controlPr>
            </control>
          </mc:Choice>
        </mc:AlternateContent>
        <mc:AlternateContent xmlns:mc="http://schemas.openxmlformats.org/markup-compatibility/2006">
          <mc:Choice Requires="x14">
            <control shapeId="1181" name="Check Box 157" r:id="rId32">
              <controlPr defaultSize="0">
                <anchor moveWithCells="1">
                  <from>
                    <xdr:col>18</xdr:col>
                    <xdr:colOff>0</xdr:colOff>
                    <xdr:row>27</xdr:row>
                    <xdr:rowOff>180975</xdr:rowOff>
                  </from>
                  <to>
                    <xdr:col>18</xdr:col>
                    <xdr:colOff>228600</xdr:colOff>
                    <xdr:row>29</xdr:row>
                    <xdr:rowOff>0</xdr:rowOff>
                  </to>
                </anchor>
              </controlPr>
            </control>
          </mc:Choice>
        </mc:AlternateContent>
        <mc:AlternateContent xmlns:mc="http://schemas.openxmlformats.org/markup-compatibility/2006">
          <mc:Choice Requires="x14">
            <control shapeId="1182" name="Check Box 158" r:id="rId33">
              <controlPr locked="0" defaultSize="0">
                <anchor moveWithCells="1">
                  <from>
                    <xdr:col>3</xdr:col>
                    <xdr:colOff>38100</xdr:colOff>
                    <xdr:row>62</xdr:row>
                    <xdr:rowOff>19050</xdr:rowOff>
                  </from>
                  <to>
                    <xdr:col>5</xdr:col>
                    <xdr:colOff>295275</xdr:colOff>
                    <xdr:row>62</xdr:row>
                    <xdr:rowOff>247650</xdr:rowOff>
                  </to>
                </anchor>
              </controlPr>
            </control>
          </mc:Choice>
        </mc:AlternateContent>
        <mc:AlternateContent xmlns:mc="http://schemas.openxmlformats.org/markup-compatibility/2006">
          <mc:Choice Requires="x14">
            <control shapeId="1183" name="Check Box 159" r:id="rId34">
              <controlPr locked="0" defaultSize="0">
                <anchor moveWithCells="1">
                  <from>
                    <xdr:col>7</xdr:col>
                    <xdr:colOff>9525</xdr:colOff>
                    <xdr:row>62</xdr:row>
                    <xdr:rowOff>38100</xdr:rowOff>
                  </from>
                  <to>
                    <xdr:col>10</xdr:col>
                    <xdr:colOff>180975</xdr:colOff>
                    <xdr:row>62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B16"/>
  <sheetViews>
    <sheetView workbookViewId="0">
      <selection activeCell="B18" sqref="B18"/>
    </sheetView>
  </sheetViews>
  <sheetFormatPr defaultColWidth="9" defaultRowHeight="13.5" outlineLevelCol="1"/>
  <cols>
    <col min="1" max="1" width="77.425" customWidth="1"/>
    <col min="2" max="2" width="90" customWidth="1"/>
  </cols>
  <sheetData>
    <row r="1" ht="24" spans="1:2">
      <c r="A1" s="1" t="s">
        <v>107</v>
      </c>
      <c r="B1" s="2" t="s">
        <v>108</v>
      </c>
    </row>
    <row r="2" spans="1:2">
      <c r="A2" s="3" t="s">
        <v>109</v>
      </c>
      <c r="B2" s="4" t="s">
        <v>110</v>
      </c>
    </row>
    <row r="3" spans="1:2">
      <c r="A3" s="5" t="s">
        <v>111</v>
      </c>
      <c r="B3" s="6" t="s">
        <v>112</v>
      </c>
    </row>
    <row r="4" spans="1:2">
      <c r="A4" s="5" t="s">
        <v>113</v>
      </c>
      <c r="B4" s="6" t="s">
        <v>114</v>
      </c>
    </row>
    <row r="5" spans="1:2">
      <c r="A5" s="5"/>
      <c r="B5" s="7" t="s">
        <v>115</v>
      </c>
    </row>
    <row r="6" spans="1:2">
      <c r="A6" s="5" t="s">
        <v>116</v>
      </c>
      <c r="B6" s="6" t="s">
        <v>117</v>
      </c>
    </row>
    <row r="7" spans="1:2">
      <c r="A7" s="5" t="s">
        <v>118</v>
      </c>
      <c r="B7" s="6" t="s">
        <v>119</v>
      </c>
    </row>
    <row r="8" spans="1:2">
      <c r="A8" s="5" t="s">
        <v>120</v>
      </c>
      <c r="B8" s="6" t="s">
        <v>121</v>
      </c>
    </row>
    <row r="9" spans="1:2">
      <c r="A9" s="8" t="s">
        <v>122</v>
      </c>
      <c r="B9" s="6" t="s">
        <v>123</v>
      </c>
    </row>
    <row r="10" ht="36" spans="1:2">
      <c r="A10" s="8" t="s">
        <v>124</v>
      </c>
      <c r="B10" s="9" t="s">
        <v>125</v>
      </c>
    </row>
    <row r="11" ht="24" spans="1:2">
      <c r="A11" s="8" t="s">
        <v>126</v>
      </c>
      <c r="B11" s="10" t="s">
        <v>127</v>
      </c>
    </row>
    <row r="12" spans="1:2">
      <c r="A12" s="8" t="s">
        <v>128</v>
      </c>
      <c r="B12" s="10" t="s">
        <v>129</v>
      </c>
    </row>
    <row r="13" ht="61.5" spans="1:2">
      <c r="A13" s="11" t="s">
        <v>130</v>
      </c>
      <c r="B13" s="12" t="s">
        <v>131</v>
      </c>
    </row>
    <row r="14" spans="1:2">
      <c r="A14" s="2" t="s">
        <v>132</v>
      </c>
    </row>
    <row r="15" spans="1:2">
      <c r="A15" s="2" t="s">
        <v>133</v>
      </c>
    </row>
    <row r="16" spans="1:2">
      <c r="A16" t="s">
        <v>106</v>
      </c>
    </row>
  </sheetData>
  <pageMargins left="0.7" right="0.7" top="0.75" bottom="0.75" header="0.3" footer="0.3"/>
  <pageSetup paperSize="1" scale="55" orientation="portrait" horizontalDpi="300" vertic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arrUserId title="Range3" rangeCreator="" othersAccessPermission="edit"/>
    <arrUserId title="Range2" rangeCreator="" othersAccessPermission="edit"/>
  </rangeList>
  <rangeList sheetStid="3"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Expeditors</Company>
  <Application>Microsoft Excel</Application>
  <HeadingPairs>
    <vt:vector size="2" baseType="variant">
      <vt:variant>
        <vt:lpstr>工作表</vt:lpstr>
      </vt:variant>
      <vt:variant>
        <vt:i4>2</vt:i4>
      </vt:variant>
    </vt:vector>
  </HeadingPairs>
  <TitlesOfParts>
    <vt:vector size="2" baseType="lpstr">
      <vt:lpstr>AIR</vt:lpstr>
      <vt:lpstr>FOB local charges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 Wu</dc:creator>
  <cp:lastModifiedBy>雨后有彩虹</cp:lastModifiedBy>
  <dcterms:created xsi:type="dcterms:W3CDTF">2013-09-04T02:42:00Z</dcterms:created>
  <cp:lastPrinted>2025-02-28T04:35:00Z</cp:lastPrinted>
  <dcterms:modified xsi:type="dcterms:W3CDTF">2025-12-25T05:54:27Z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2052-12.1.0.24034</vt:lpwstr>
  </property>
  <property fmtid="{D5CDD505-2E9C-101B-9397-08002B2CF9AE}" pid="3" name="CalculationRule">
    <vt:i4>0</vt:i4>
  </property>
  <property fmtid="{D5CDD505-2E9C-101B-9397-08002B2CF9AE}" pid="4" name="ICV">
    <vt:lpwstr>47730A88641F4021AE78E6512E7F9514_13</vt:lpwstr>
  </property>
</Properties>
</file>