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501"/>
  </bookViews>
  <sheets>
    <sheet name="合同" sheetId="1" r:id="rId1"/>
  </sheets>
  <definedNames>
    <definedName name="_xlnm._FilterDatabase" localSheetId="0" hidden="1">合同!$A$1:$Y$16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<sst xmlns="http://schemas.openxmlformats.org/spreadsheetml/2006/main" count="268" uniqueCount="85">
  <si>
    <t>序号</t>
  </si>
  <si>
    <t xml:space="preserve">    客户名称</t>
  </si>
  <si>
    <t xml:space="preserve">   合同号</t>
  </si>
  <si>
    <t>日期</t>
  </si>
  <si>
    <t xml:space="preserve">销售          </t>
  </si>
  <si>
    <t>品名</t>
  </si>
  <si>
    <t>型号</t>
  </si>
  <si>
    <t>数量</t>
  </si>
  <si>
    <t>单位</t>
  </si>
  <si>
    <t>单价</t>
  </si>
  <si>
    <t>金額</t>
  </si>
  <si>
    <t>总计</t>
  </si>
  <si>
    <t>交货期</t>
  </si>
  <si>
    <t>付款方式</t>
  </si>
  <si>
    <t>收款  日期</t>
  </si>
  <si>
    <t xml:space="preserve"> 发货日期</t>
  </si>
  <si>
    <t>发货单号</t>
  </si>
  <si>
    <t>运费</t>
  </si>
  <si>
    <t>开票日期</t>
  </si>
  <si>
    <t>发票号</t>
  </si>
  <si>
    <t>行业领域</t>
  </si>
  <si>
    <t>产品用途</t>
  </si>
  <si>
    <t>联系人及
联系方式</t>
  </si>
  <si>
    <t xml:space="preserve"> 客户来源</t>
  </si>
  <si>
    <t>生产基地</t>
  </si>
  <si>
    <t>淄博科瑞斯耐火材料有限公司</t>
  </si>
  <si>
    <t xml:space="preserve"> RRJS-YXHT-202501-0003</t>
  </si>
  <si>
    <t>张全喜</t>
  </si>
  <si>
    <t>氧化铝纤维针刺毯</t>
  </si>
  <si>
    <t>LSY（7200*610*20mm;128kg/m³；30卷）</t>
  </si>
  <si>
    <t>公斤</t>
  </si>
  <si>
    <r>
      <rPr>
        <sz val="11"/>
        <color theme="1"/>
        <rFont val="等线"/>
        <charset val="134"/>
      </rPr>
      <t>收到180天内全款承兑后发货</t>
    </r>
    <r>
      <rPr>
        <sz val="11"/>
        <color rgb="FFFF0000"/>
        <rFont val="等线"/>
        <charset val="134"/>
      </rPr>
      <t>（全款已付）</t>
    </r>
  </si>
  <si>
    <t>DPL111130430568</t>
  </si>
  <si>
    <t>4月29日</t>
  </si>
  <si>
    <t>31568984</t>
  </si>
  <si>
    <t>保温</t>
  </si>
  <si>
    <t>刘翀</t>
  </si>
  <si>
    <t xml:space="preserve">     自行开发</t>
  </si>
  <si>
    <t xml:space="preserve">       广西</t>
  </si>
  <si>
    <t>LSY（10000*1220*8mm;150K；30卷）</t>
  </si>
  <si>
    <t>3月28日
4月15日
6月24日</t>
  </si>
  <si>
    <t>DPL100027095689（10卷）DPL100027178184（10卷） SF1153977554695（10卷）</t>
  </si>
  <si>
    <t>4月29日
7月28日</t>
  </si>
  <si>
    <t>31568984（20卷）
35653786（10卷）</t>
  </si>
  <si>
    <t>已发货的20卷于4月29日已开票</t>
  </si>
  <si>
    <t>LSY（7200*610*20mm;128kg/m³；12卷）</t>
  </si>
  <si>
    <t>现货</t>
  </si>
  <si>
    <t>LSY(10000*610*12.5mm;128kg/m³;4卷）</t>
  </si>
  <si>
    <t>DPL100027372715</t>
  </si>
  <si>
    <t>6月23日</t>
  </si>
  <si>
    <t>93000716</t>
  </si>
  <si>
    <t>LSY（7200*610*20mm;128kg/m³；4卷）</t>
  </si>
  <si>
    <t>LSY（7200*610*25mm/128K；16卷）</t>
  </si>
  <si>
    <t>SF1455109615947</t>
  </si>
  <si>
    <t>7月28日</t>
  </si>
  <si>
    <t>35653786</t>
  </si>
  <si>
    <t>LSY（7200*610*20mm/128K；1卷）</t>
  </si>
  <si>
    <t>LSY（20000*610*6mm/130K；4卷）</t>
  </si>
  <si>
    <t>LSY（7200*610*12.5mm/130k；18卷）</t>
  </si>
  <si>
    <t>LSY（7200*610*25mm;128kg/m³）；40卷</t>
  </si>
  <si>
    <t xml:space="preserve"> SF1560446609177</t>
  </si>
  <si>
    <t>8月29日</t>
  </si>
  <si>
    <t>74655626</t>
  </si>
  <si>
    <t>LSY（7200*610*12.5mm;130kg/m³）；6卷</t>
  </si>
  <si>
    <t xml:space="preserve"> SF1561489785265</t>
  </si>
  <si>
    <t>10月28日</t>
  </si>
  <si>
    <t>25312000000346765326</t>
  </si>
  <si>
    <t>LSY（7200*610*20mm;128kg/m³）；2卷</t>
  </si>
  <si>
    <t>LSY（7200*610*25mm;128kg/m³）；10卷</t>
  </si>
  <si>
    <r>
      <rPr>
        <sz val="11"/>
        <color theme="1"/>
        <rFont val="等线"/>
        <charset val="134"/>
      </rPr>
      <t xml:space="preserve"> 收到180天内全款承兑后发货</t>
    </r>
    <r>
      <rPr>
        <sz val="11"/>
        <color rgb="FFFF0000"/>
        <rFont val="等线"/>
        <charset val="134"/>
      </rPr>
      <t>（全款已付）</t>
    </r>
  </si>
  <si>
    <t>SF0252252651191</t>
  </si>
  <si>
    <t xml:space="preserve">      自行开发</t>
  </si>
  <si>
    <t>RRJS-YXHT-202501-0003</t>
  </si>
  <si>
    <t>LSY（20000*610*6mm;128kg/m³）；1卷</t>
  </si>
  <si>
    <t xml:space="preserve"> SF0255254599372</t>
  </si>
  <si>
    <t>SF0259295325383</t>
  </si>
  <si>
    <t>共计</t>
  </si>
  <si>
    <t xml:space="preserve"> </t>
  </si>
  <si>
    <t>外加950</t>
  </si>
  <si>
    <t>表格颜色说明：</t>
  </si>
  <si>
    <t>粉色表示已发货已开票已收款</t>
  </si>
  <si>
    <t>黄色表示已发货已开票未收款</t>
  </si>
  <si>
    <t>绿色表示已发货</t>
  </si>
  <si>
    <t>灰色表示合同还未双签</t>
  </si>
  <si>
    <t>无颜色表示备货中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</si>
</sst>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\¥#,##0.00_);[Red]\(\¥#,##0.00\)"/>
    <numFmt numFmtId="178" formatCode="0_);[Red]\(0\)"/>
  </numFmts>
  <fonts count="3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0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name val="宋体"/>
      <charset val="134"/>
      <scheme val="minor"/>
    </font>
    <font>
      <sz val="12"/>
      <color indexed="8"/>
      <name val="等线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name val="等线"/>
      <charset val="134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83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7" fontId="5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vertical="center" wrapText="1"/>
    </xf>
    <xf numFmtId="177" fontId="4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58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 shrinkToFit="1"/>
    </xf>
    <xf numFmtId="49" fontId="1" fillId="2" borderId="1" xfId="49" applyNumberFormat="1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horizontal="center" vertical="center" wrapText="1" shrinkToFit="1"/>
    </xf>
    <xf numFmtId="178" fontId="1" fillId="2" borderId="1" xfId="49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8" fontId="1" fillId="2" borderId="1" xfId="49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7" fontId="9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58" fontId="2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7" fontId="9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7" fontId="9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7" fontId="9" fillId="0" borderId="1" xfId="0" applyNumberFormat="1" applyFont="1" applyBorder="1" applyAlignment="1">
      <alignment horizontal="center" vertical="center"/>
    </xf>
    <xf numFmtId="7" fontId="1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177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78" fontId="10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7" fontId="2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92D050"/>
      <color rgb="000000FF"/>
      <color rgb="00000000"/>
      <color rgb="00FFCCCC"/>
      <color rgb="00FFFFFF"/>
      <color rgb="00FF0000"/>
      <color rgb="00F2DC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30"/>
  <sheetViews>
    <sheetView tabSelected="1"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P18" sqref="P18"/>
    </sheetView>
  </sheetViews>
  <sheetFormatPr defaultColWidth="8.875" defaultRowHeight="24.95" customHeight="1"/>
  <cols>
    <col min="1" max="1" width="4.25" style="5" customWidth="1"/>
    <col min="2" max="2" width="26.5" style="6" customWidth="1"/>
    <col min="3" max="3" width="22.0833333333333" style="6" customWidth="1"/>
    <col min="4" max="4" width="9.375" style="5" customWidth="1"/>
    <col min="5" max="5" width="8.5" style="5" customWidth="1"/>
    <col min="6" max="6" width="21" style="7" customWidth="1"/>
    <col min="7" max="7" width="40.25" style="7" customWidth="1"/>
    <col min="8" max="8" width="7.75" style="5" customWidth="1"/>
    <col min="9" max="9" width="7.25" style="5" customWidth="1"/>
    <col min="10" max="10" width="13.125" style="8" customWidth="1"/>
    <col min="11" max="11" width="14.875" style="8" customWidth="1"/>
    <col min="12" max="12" width="17.875" style="8" customWidth="1"/>
    <col min="13" max="13" width="9.75" style="9" customWidth="1"/>
    <col min="14" max="14" width="25.5" style="9" customWidth="1"/>
    <col min="15" max="15" width="9.5" style="9" customWidth="1"/>
    <col min="16" max="16" width="9.75" style="9" customWidth="1"/>
    <col min="17" max="17" width="23.1916666666667" style="10" customWidth="1"/>
    <col min="18" max="18" width="9.875" style="11" customWidth="1"/>
    <col min="19" max="19" width="8.875" style="12" customWidth="1"/>
    <col min="20" max="20" width="20.5583333333333" style="13" customWidth="1"/>
    <col min="21" max="21" width="13.875" style="13" customWidth="1"/>
    <col min="22" max="22" width="13.75" style="13" customWidth="1"/>
    <col min="23" max="23" width="16.875" style="5" customWidth="1"/>
    <col min="24" max="25" width="13.75" style="14" customWidth="1"/>
    <col min="26" max="26" width="33.75" style="15" customWidth="1"/>
    <col min="27" max="16384" width="8.875" style="16"/>
  </cols>
  <sheetData>
    <row r="1" s="1" customFormat="1" ht="42.95" customHeight="1" spans="1:26">
      <c r="A1" s="17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7" t="s">
        <v>6</v>
      </c>
      <c r="H1" s="17" t="s">
        <v>7</v>
      </c>
      <c r="I1" s="17" t="s">
        <v>8</v>
      </c>
      <c r="J1" s="20" t="s">
        <v>9</v>
      </c>
      <c r="K1" s="20" t="s">
        <v>10</v>
      </c>
      <c r="L1" s="20" t="s">
        <v>11</v>
      </c>
      <c r="M1" s="21" t="s">
        <v>12</v>
      </c>
      <c r="N1" s="21" t="s">
        <v>13</v>
      </c>
      <c r="O1" s="21" t="s">
        <v>14</v>
      </c>
      <c r="P1" s="22" t="s">
        <v>15</v>
      </c>
      <c r="Q1" s="21" t="s">
        <v>16</v>
      </c>
      <c r="R1" s="23" t="s">
        <v>17</v>
      </c>
      <c r="S1" s="22" t="s">
        <v>18</v>
      </c>
      <c r="T1" s="24" t="s">
        <v>19</v>
      </c>
      <c r="U1" s="24" t="s">
        <v>20</v>
      </c>
      <c r="V1" s="24" t="s">
        <v>21</v>
      </c>
      <c r="W1" s="25" t="s">
        <v>22</v>
      </c>
      <c r="X1" s="26" t="s">
        <v>23</v>
      </c>
      <c r="Y1" s="26" t="s">
        <v>24</v>
      </c>
      <c r="Z1" s="27"/>
    </row>
    <row r="2" s="2" customFormat="1" ht="30" customHeight="1" spans="1:26">
      <c r="A2" s="28">
        <v>9</v>
      </c>
      <c r="B2" s="29" t="s">
        <v>25</v>
      </c>
      <c r="C2" s="29" t="s">
        <v>26</v>
      </c>
      <c r="D2" s="30">
        <v>45723</v>
      </c>
      <c r="E2" s="30" t="s">
        <v>27</v>
      </c>
      <c r="F2" s="31" t="s">
        <v>28</v>
      </c>
      <c r="G2" s="32" t="s">
        <v>29</v>
      </c>
      <c r="H2" s="28">
        <v>337.2</v>
      </c>
      <c r="I2" s="28" t="s">
        <v>30</v>
      </c>
      <c r="J2" s="33">
        <v>200</v>
      </c>
      <c r="K2" s="33">
        <f>H2*J2</f>
        <v>67440</v>
      </c>
      <c r="L2" s="33">
        <v>67440</v>
      </c>
      <c r="M2" s="34">
        <v>45747</v>
      </c>
      <c r="N2" s="34" t="s">
        <v>31</v>
      </c>
      <c r="O2" s="34">
        <v>45660</v>
      </c>
      <c r="P2" s="34">
        <v>45758</v>
      </c>
      <c r="Q2" s="34" t="s">
        <v>32</v>
      </c>
      <c r="R2" s="35"/>
      <c r="S2" s="36" t="s">
        <v>33</v>
      </c>
      <c r="T2" s="37" t="s">
        <v>34</v>
      </c>
      <c r="U2" s="37" t="s">
        <v>35</v>
      </c>
      <c r="V2" s="28" t="s">
        <v>35</v>
      </c>
      <c r="W2" s="28" t="s">
        <v>36</v>
      </c>
      <c r="X2" s="38" t="s">
        <v>37</v>
      </c>
      <c r="Y2" s="38" t="s">
        <v>38</v>
      </c>
      <c r="Z2" s="39"/>
    </row>
    <row r="3" s="2" customFormat="1" ht="46" customHeight="1" spans="1:26">
      <c r="A3" s="28">
        <v>11</v>
      </c>
      <c r="B3" s="29" t="s">
        <v>25</v>
      </c>
      <c r="C3" s="29" t="s">
        <v>26</v>
      </c>
      <c r="D3" s="30">
        <v>45743</v>
      </c>
      <c r="E3" s="30" t="s">
        <v>27</v>
      </c>
      <c r="F3" s="31" t="s">
        <v>28</v>
      </c>
      <c r="G3" s="32" t="s">
        <v>39</v>
      </c>
      <c r="H3" s="28">
        <v>438</v>
      </c>
      <c r="I3" s="28" t="s">
        <v>30</v>
      </c>
      <c r="J3" s="33">
        <v>200</v>
      </c>
      <c r="K3" s="33">
        <f>H3*J3</f>
        <v>87600</v>
      </c>
      <c r="L3" s="33">
        <v>87600</v>
      </c>
      <c r="M3" s="34">
        <v>45747</v>
      </c>
      <c r="N3" s="34" t="s">
        <v>31</v>
      </c>
      <c r="O3" s="34">
        <v>45660</v>
      </c>
      <c r="P3" s="34" t="s">
        <v>40</v>
      </c>
      <c r="Q3" s="34" t="s">
        <v>41</v>
      </c>
      <c r="R3" s="35"/>
      <c r="S3" s="40" t="s">
        <v>42</v>
      </c>
      <c r="T3" s="41" t="s">
        <v>43</v>
      </c>
      <c r="U3" s="37" t="s">
        <v>35</v>
      </c>
      <c r="V3" s="28" t="s">
        <v>35</v>
      </c>
      <c r="W3" s="28" t="s">
        <v>36</v>
      </c>
      <c r="X3" s="38" t="s">
        <v>37</v>
      </c>
      <c r="Y3" s="38" t="s">
        <v>38</v>
      </c>
      <c r="Z3" s="39" t="s">
        <v>44</v>
      </c>
    </row>
    <row r="4" s="2" customFormat="1" ht="30" customHeight="1" spans="1:26">
      <c r="A4" s="28">
        <v>12</v>
      </c>
      <c r="B4" s="29" t="s">
        <v>25</v>
      </c>
      <c r="C4" s="29" t="s">
        <v>26</v>
      </c>
      <c r="D4" s="30">
        <v>45757</v>
      </c>
      <c r="E4" s="30" t="s">
        <v>27</v>
      </c>
      <c r="F4" s="31" t="s">
        <v>28</v>
      </c>
      <c r="G4" s="32" t="s">
        <v>45</v>
      </c>
      <c r="H4" s="28">
        <v>134.88</v>
      </c>
      <c r="I4" s="28" t="s">
        <v>30</v>
      </c>
      <c r="J4" s="33">
        <v>200</v>
      </c>
      <c r="K4" s="33">
        <f>H4*J4</f>
        <v>26976</v>
      </c>
      <c r="L4" s="33">
        <v>26976</v>
      </c>
      <c r="M4" s="34" t="s">
        <v>46</v>
      </c>
      <c r="N4" s="34" t="s">
        <v>31</v>
      </c>
      <c r="O4" s="34">
        <v>45660</v>
      </c>
      <c r="P4" s="34">
        <v>45758</v>
      </c>
      <c r="Q4" s="34" t="s">
        <v>32</v>
      </c>
      <c r="R4" s="35"/>
      <c r="S4" s="36" t="s">
        <v>33</v>
      </c>
      <c r="T4" s="37" t="s">
        <v>34</v>
      </c>
      <c r="U4" s="37" t="s">
        <v>35</v>
      </c>
      <c r="V4" s="28" t="s">
        <v>35</v>
      </c>
      <c r="W4" s="28" t="s">
        <v>36</v>
      </c>
      <c r="X4" s="38" t="s">
        <v>37</v>
      </c>
      <c r="Y4" s="38" t="s">
        <v>38</v>
      </c>
      <c r="Z4" s="39"/>
    </row>
    <row r="5" s="2" customFormat="1" ht="30" customHeight="1" spans="1:26">
      <c r="A5" s="28">
        <v>17</v>
      </c>
      <c r="B5" s="29" t="s">
        <v>25</v>
      </c>
      <c r="C5" s="29" t="s">
        <v>26</v>
      </c>
      <c r="D5" s="30">
        <v>45807</v>
      </c>
      <c r="E5" s="30" t="s">
        <v>27</v>
      </c>
      <c r="F5" s="31" t="s">
        <v>28</v>
      </c>
      <c r="G5" s="32" t="s">
        <v>47</v>
      </c>
      <c r="H5" s="28">
        <v>39.2</v>
      </c>
      <c r="I5" s="28" t="s">
        <v>30</v>
      </c>
      <c r="J5" s="33">
        <v>200</v>
      </c>
      <c r="K5" s="33">
        <f>H5*J5</f>
        <v>7840</v>
      </c>
      <c r="L5" s="33">
        <f>K5+K6</f>
        <v>16832</v>
      </c>
      <c r="M5" s="34" t="s">
        <v>46</v>
      </c>
      <c r="N5" s="34" t="s">
        <v>31</v>
      </c>
      <c r="O5" s="34">
        <v>45660</v>
      </c>
      <c r="P5" s="34">
        <v>45811</v>
      </c>
      <c r="Q5" s="34" t="s">
        <v>48</v>
      </c>
      <c r="R5" s="35"/>
      <c r="S5" s="36" t="s">
        <v>49</v>
      </c>
      <c r="T5" s="37" t="s">
        <v>50</v>
      </c>
      <c r="U5" s="37" t="s">
        <v>35</v>
      </c>
      <c r="V5" s="28" t="s">
        <v>35</v>
      </c>
      <c r="W5" s="28" t="s">
        <v>36</v>
      </c>
      <c r="X5" s="38" t="s">
        <v>37</v>
      </c>
      <c r="Y5" s="38" t="s">
        <v>38</v>
      </c>
      <c r="Z5" s="39"/>
    </row>
    <row r="6" s="2" customFormat="1" ht="30" customHeight="1" spans="1:26">
      <c r="A6" s="28">
        <v>17</v>
      </c>
      <c r="B6" s="29" t="s">
        <v>25</v>
      </c>
      <c r="C6" s="29" t="s">
        <v>26</v>
      </c>
      <c r="D6" s="30">
        <v>45807</v>
      </c>
      <c r="E6" s="30" t="s">
        <v>27</v>
      </c>
      <c r="F6" s="31" t="s">
        <v>28</v>
      </c>
      <c r="G6" s="32" t="s">
        <v>51</v>
      </c>
      <c r="H6" s="28">
        <v>44.96</v>
      </c>
      <c r="I6" s="28" t="s">
        <v>30</v>
      </c>
      <c r="J6" s="33">
        <v>200</v>
      </c>
      <c r="K6" s="33">
        <f>H6*J6</f>
        <v>8992</v>
      </c>
      <c r="L6" s="33"/>
      <c r="M6" s="34" t="s">
        <v>46</v>
      </c>
      <c r="N6" s="34" t="s">
        <v>31</v>
      </c>
      <c r="O6" s="34">
        <v>45660</v>
      </c>
      <c r="P6" s="34">
        <v>45811</v>
      </c>
      <c r="Q6" s="34" t="s">
        <v>48</v>
      </c>
      <c r="R6" s="35"/>
      <c r="S6" s="36" t="s">
        <v>49</v>
      </c>
      <c r="T6" s="37" t="s">
        <v>50</v>
      </c>
      <c r="U6" s="37" t="s">
        <v>35</v>
      </c>
      <c r="V6" s="28" t="s">
        <v>35</v>
      </c>
      <c r="W6" s="28" t="s">
        <v>36</v>
      </c>
      <c r="X6" s="38" t="s">
        <v>37</v>
      </c>
      <c r="Y6" s="38" t="s">
        <v>38</v>
      </c>
      <c r="Z6" s="39"/>
    </row>
    <row r="7" s="2" customFormat="1" ht="30" customHeight="1" spans="1:26">
      <c r="A7" s="28">
        <v>20</v>
      </c>
      <c r="B7" s="29" t="s">
        <v>25</v>
      </c>
      <c r="C7" s="29" t="s">
        <v>26</v>
      </c>
      <c r="D7" s="30">
        <v>45838</v>
      </c>
      <c r="E7" s="30" t="s">
        <v>27</v>
      </c>
      <c r="F7" s="31" t="s">
        <v>28</v>
      </c>
      <c r="G7" s="32" t="s">
        <v>52</v>
      </c>
      <c r="H7" s="28">
        <v>225.6</v>
      </c>
      <c r="I7" s="28" t="s">
        <v>30</v>
      </c>
      <c r="J7" s="33">
        <v>200</v>
      </c>
      <c r="K7" s="33">
        <f>H7*J7</f>
        <v>45120</v>
      </c>
      <c r="L7" s="33">
        <f>K7+K8+K9+K10</f>
        <v>80528</v>
      </c>
      <c r="M7" s="34">
        <v>45840</v>
      </c>
      <c r="N7" s="34" t="s">
        <v>31</v>
      </c>
      <c r="O7" s="34">
        <v>45660</v>
      </c>
      <c r="P7" s="34">
        <v>45840</v>
      </c>
      <c r="Q7" s="34" t="s">
        <v>53</v>
      </c>
      <c r="R7" s="35"/>
      <c r="S7" s="36" t="s">
        <v>54</v>
      </c>
      <c r="T7" s="37" t="s">
        <v>55</v>
      </c>
      <c r="U7" s="37" t="s">
        <v>35</v>
      </c>
      <c r="V7" s="28" t="s">
        <v>35</v>
      </c>
      <c r="W7" s="28" t="s">
        <v>36</v>
      </c>
      <c r="X7" s="38" t="s">
        <v>37</v>
      </c>
      <c r="Y7" s="38" t="s">
        <v>38</v>
      </c>
      <c r="Z7" s="39"/>
    </row>
    <row r="8" s="2" customFormat="1" ht="30" customHeight="1" spans="1:26">
      <c r="A8" s="28">
        <v>20</v>
      </c>
      <c r="B8" s="29" t="s">
        <v>25</v>
      </c>
      <c r="C8" s="29" t="s">
        <v>26</v>
      </c>
      <c r="D8" s="30">
        <v>45838</v>
      </c>
      <c r="E8" s="30" t="s">
        <v>27</v>
      </c>
      <c r="F8" s="31" t="s">
        <v>28</v>
      </c>
      <c r="G8" s="32" t="s">
        <v>56</v>
      </c>
      <c r="H8" s="28">
        <v>11.24</v>
      </c>
      <c r="I8" s="28" t="s">
        <v>30</v>
      </c>
      <c r="J8" s="33">
        <v>200</v>
      </c>
      <c r="K8" s="33">
        <f>H8*J8</f>
        <v>2248</v>
      </c>
      <c r="L8" s="33"/>
      <c r="M8" s="34">
        <v>45840</v>
      </c>
      <c r="N8" s="34" t="s">
        <v>31</v>
      </c>
      <c r="O8" s="34">
        <v>45660</v>
      </c>
      <c r="P8" s="34">
        <v>45840</v>
      </c>
      <c r="Q8" s="34" t="s">
        <v>53</v>
      </c>
      <c r="R8" s="35"/>
      <c r="S8" s="36" t="s">
        <v>54</v>
      </c>
      <c r="T8" s="37" t="s">
        <v>55</v>
      </c>
      <c r="U8" s="37" t="s">
        <v>35</v>
      </c>
      <c r="V8" s="28" t="s">
        <v>35</v>
      </c>
      <c r="W8" s="28" t="s">
        <v>36</v>
      </c>
      <c r="X8" s="38" t="s">
        <v>37</v>
      </c>
      <c r="Y8" s="38" t="s">
        <v>38</v>
      </c>
      <c r="Z8" s="39"/>
    </row>
    <row r="9" s="2" customFormat="1" ht="30" customHeight="1" spans="1:26">
      <c r="A9" s="28">
        <v>20</v>
      </c>
      <c r="B9" s="29" t="s">
        <v>25</v>
      </c>
      <c r="C9" s="29" t="s">
        <v>26</v>
      </c>
      <c r="D9" s="30">
        <v>45838</v>
      </c>
      <c r="E9" s="30" t="s">
        <v>27</v>
      </c>
      <c r="F9" s="31" t="s">
        <v>28</v>
      </c>
      <c r="G9" s="32" t="s">
        <v>57</v>
      </c>
      <c r="H9" s="28">
        <v>38</v>
      </c>
      <c r="I9" s="28" t="s">
        <v>30</v>
      </c>
      <c r="J9" s="33">
        <v>200</v>
      </c>
      <c r="K9" s="33">
        <f>H9*J9</f>
        <v>7600</v>
      </c>
      <c r="L9" s="33"/>
      <c r="M9" s="34">
        <v>45840</v>
      </c>
      <c r="N9" s="34" t="s">
        <v>31</v>
      </c>
      <c r="O9" s="34">
        <v>45660</v>
      </c>
      <c r="P9" s="34">
        <v>45840</v>
      </c>
      <c r="Q9" s="34" t="s">
        <v>53</v>
      </c>
      <c r="R9" s="35"/>
      <c r="S9" s="36" t="s">
        <v>54</v>
      </c>
      <c r="T9" s="37" t="s">
        <v>55</v>
      </c>
      <c r="U9" s="37" t="s">
        <v>35</v>
      </c>
      <c r="V9" s="28" t="s">
        <v>35</v>
      </c>
      <c r="W9" s="28" t="s">
        <v>36</v>
      </c>
      <c r="X9" s="38" t="s">
        <v>37</v>
      </c>
      <c r="Y9" s="38" t="s">
        <v>38</v>
      </c>
      <c r="Z9" s="39"/>
    </row>
    <row r="10" s="2" customFormat="1" ht="30" customHeight="1" spans="1:26">
      <c r="A10" s="28">
        <v>20</v>
      </c>
      <c r="B10" s="29" t="s">
        <v>25</v>
      </c>
      <c r="C10" s="29" t="s">
        <v>26</v>
      </c>
      <c r="D10" s="30">
        <v>45838</v>
      </c>
      <c r="E10" s="30" t="s">
        <v>27</v>
      </c>
      <c r="F10" s="31" t="s">
        <v>28</v>
      </c>
      <c r="G10" s="32" t="s">
        <v>58</v>
      </c>
      <c r="H10" s="28">
        <v>127.8</v>
      </c>
      <c r="I10" s="28" t="s">
        <v>30</v>
      </c>
      <c r="J10" s="33">
        <v>200</v>
      </c>
      <c r="K10" s="33">
        <f>H10*J10</f>
        <v>25560</v>
      </c>
      <c r="L10" s="33"/>
      <c r="M10" s="34">
        <v>45840</v>
      </c>
      <c r="N10" s="34" t="s">
        <v>31</v>
      </c>
      <c r="O10" s="34">
        <v>45660</v>
      </c>
      <c r="P10" s="34">
        <v>45840</v>
      </c>
      <c r="Q10" s="34" t="s">
        <v>53</v>
      </c>
      <c r="R10" s="35"/>
      <c r="S10" s="36" t="s">
        <v>54</v>
      </c>
      <c r="T10" s="37" t="s">
        <v>55</v>
      </c>
      <c r="U10" s="37" t="s">
        <v>35</v>
      </c>
      <c r="V10" s="28" t="s">
        <v>35</v>
      </c>
      <c r="W10" s="28" t="s">
        <v>36</v>
      </c>
      <c r="X10" s="38" t="s">
        <v>37</v>
      </c>
      <c r="Y10" s="38" t="s">
        <v>38</v>
      </c>
      <c r="Z10" s="39"/>
    </row>
    <row r="11" s="3" customFormat="1" ht="30" customHeight="1" spans="1:26">
      <c r="A11" s="28">
        <v>26</v>
      </c>
      <c r="B11" s="29" t="s">
        <v>25</v>
      </c>
      <c r="C11" s="29" t="s">
        <v>26</v>
      </c>
      <c r="D11" s="30">
        <v>45880</v>
      </c>
      <c r="E11" s="30" t="s">
        <v>27</v>
      </c>
      <c r="F11" s="42" t="s">
        <v>28</v>
      </c>
      <c r="G11" s="43" t="s">
        <v>59</v>
      </c>
      <c r="H11" s="28">
        <v>564</v>
      </c>
      <c r="I11" s="28" t="s">
        <v>30</v>
      </c>
      <c r="J11" s="33">
        <v>200</v>
      </c>
      <c r="K11" s="33">
        <f>H11*J11</f>
        <v>112800</v>
      </c>
      <c r="L11" s="33">
        <v>112800</v>
      </c>
      <c r="M11" s="34">
        <v>45883</v>
      </c>
      <c r="N11" s="34" t="s">
        <v>31</v>
      </c>
      <c r="O11" s="34">
        <v>45660</v>
      </c>
      <c r="P11" s="34">
        <v>45884</v>
      </c>
      <c r="Q11" s="34" t="s">
        <v>60</v>
      </c>
      <c r="R11" s="35"/>
      <c r="S11" s="36" t="s">
        <v>61</v>
      </c>
      <c r="T11" s="37" t="s">
        <v>62</v>
      </c>
      <c r="U11" s="37" t="s">
        <v>35</v>
      </c>
      <c r="V11" s="28" t="s">
        <v>35</v>
      </c>
      <c r="W11" s="28" t="s">
        <v>36</v>
      </c>
      <c r="X11" s="38" t="s">
        <v>37</v>
      </c>
      <c r="Y11" s="38" t="s">
        <v>38</v>
      </c>
      <c r="Z11" s="44"/>
    </row>
    <row r="12" s="3" customFormat="1" ht="30" customHeight="1" spans="1:26">
      <c r="A12" s="28">
        <v>28</v>
      </c>
      <c r="B12" s="29" t="s">
        <v>25</v>
      </c>
      <c r="C12" s="29" t="s">
        <v>26</v>
      </c>
      <c r="D12" s="30">
        <v>45915</v>
      </c>
      <c r="E12" s="30" t="s">
        <v>27</v>
      </c>
      <c r="F12" s="42" t="s">
        <v>28</v>
      </c>
      <c r="G12" s="43" t="s">
        <v>63</v>
      </c>
      <c r="H12" s="28">
        <v>42.6</v>
      </c>
      <c r="I12" s="28" t="s">
        <v>30</v>
      </c>
      <c r="J12" s="33">
        <v>200</v>
      </c>
      <c r="K12" s="33">
        <f t="shared" ref="K12:K16" si="0">H12*J12</f>
        <v>8520</v>
      </c>
      <c r="L12" s="33">
        <f>K12+K13</f>
        <v>13016</v>
      </c>
      <c r="M12" s="34" t="s">
        <v>46</v>
      </c>
      <c r="N12" s="34" t="s">
        <v>31</v>
      </c>
      <c r="O12" s="34">
        <v>45660</v>
      </c>
      <c r="P12" s="34">
        <v>45916</v>
      </c>
      <c r="Q12" s="34" t="s">
        <v>64</v>
      </c>
      <c r="R12" s="35"/>
      <c r="S12" s="36" t="s">
        <v>65</v>
      </c>
      <c r="T12" s="37" t="s">
        <v>66</v>
      </c>
      <c r="U12" s="37" t="s">
        <v>35</v>
      </c>
      <c r="V12" s="28" t="s">
        <v>35</v>
      </c>
      <c r="W12" s="28" t="s">
        <v>36</v>
      </c>
      <c r="X12" s="38" t="s">
        <v>37</v>
      </c>
      <c r="Y12" s="38" t="s">
        <v>38</v>
      </c>
      <c r="Z12" s="44"/>
    </row>
    <row r="13" s="3" customFormat="1" ht="30" customHeight="1" spans="1:26">
      <c r="A13" s="28">
        <v>28</v>
      </c>
      <c r="B13" s="29" t="s">
        <v>25</v>
      </c>
      <c r="C13" s="29" t="s">
        <v>26</v>
      </c>
      <c r="D13" s="30">
        <v>45915</v>
      </c>
      <c r="E13" s="30" t="s">
        <v>27</v>
      </c>
      <c r="F13" s="42" t="s">
        <v>28</v>
      </c>
      <c r="G13" s="43" t="s">
        <v>67</v>
      </c>
      <c r="H13" s="28">
        <v>22.48</v>
      </c>
      <c r="I13" s="28" t="s">
        <v>30</v>
      </c>
      <c r="J13" s="33">
        <v>200</v>
      </c>
      <c r="K13" s="33">
        <f t="shared" si="0"/>
        <v>4496</v>
      </c>
      <c r="L13" s="33"/>
      <c r="M13" s="34" t="s">
        <v>46</v>
      </c>
      <c r="N13" s="34" t="s">
        <v>31</v>
      </c>
      <c r="O13" s="34">
        <v>45660</v>
      </c>
      <c r="P13" s="34">
        <v>45916</v>
      </c>
      <c r="Q13" s="34" t="s">
        <v>64</v>
      </c>
      <c r="R13" s="35"/>
      <c r="S13" s="36" t="s">
        <v>65</v>
      </c>
      <c r="T13" s="37" t="s">
        <v>66</v>
      </c>
      <c r="U13" s="37" t="s">
        <v>35</v>
      </c>
      <c r="V13" s="28" t="s">
        <v>35</v>
      </c>
      <c r="W13" s="28" t="s">
        <v>36</v>
      </c>
      <c r="X13" s="38" t="s">
        <v>37</v>
      </c>
      <c r="Y13" s="38" t="s">
        <v>38</v>
      </c>
      <c r="Z13" s="44"/>
    </row>
    <row r="14" s="3" customFormat="1" ht="30" customHeight="1" spans="1:26">
      <c r="A14" s="28">
        <v>29</v>
      </c>
      <c r="B14" s="29" t="s">
        <v>25</v>
      </c>
      <c r="C14" s="29" t="s">
        <v>26</v>
      </c>
      <c r="D14" s="30">
        <v>45951</v>
      </c>
      <c r="E14" s="30" t="s">
        <v>27</v>
      </c>
      <c r="F14" s="42" t="s">
        <v>28</v>
      </c>
      <c r="G14" s="43" t="s">
        <v>68</v>
      </c>
      <c r="H14" s="28">
        <v>141</v>
      </c>
      <c r="I14" s="28" t="s">
        <v>30</v>
      </c>
      <c r="J14" s="33">
        <v>200</v>
      </c>
      <c r="K14" s="33">
        <f t="shared" si="0"/>
        <v>28200</v>
      </c>
      <c r="L14" s="33">
        <v>28200</v>
      </c>
      <c r="M14" s="34" t="s">
        <v>46</v>
      </c>
      <c r="N14" s="34" t="s">
        <v>69</v>
      </c>
      <c r="O14" s="34">
        <v>45660</v>
      </c>
      <c r="P14" s="34">
        <v>45952</v>
      </c>
      <c r="Q14" s="34" t="s">
        <v>70</v>
      </c>
      <c r="R14" s="35"/>
      <c r="S14" s="36" t="s">
        <v>65</v>
      </c>
      <c r="T14" s="37" t="s">
        <v>66</v>
      </c>
      <c r="U14" s="36" t="s">
        <v>35</v>
      </c>
      <c r="V14" s="28" t="s">
        <v>35</v>
      </c>
      <c r="W14" s="28" t="s">
        <v>36</v>
      </c>
      <c r="X14" s="38" t="s">
        <v>71</v>
      </c>
      <c r="Y14" s="38" t="s">
        <v>38</v>
      </c>
      <c r="Z14" s="44"/>
    </row>
    <row r="15" s="3" customFormat="1" ht="30" customHeight="1" spans="1:26">
      <c r="A15" s="45">
        <v>30</v>
      </c>
      <c r="B15" s="46" t="s">
        <v>25</v>
      </c>
      <c r="C15" s="46" t="s">
        <v>72</v>
      </c>
      <c r="D15" s="47">
        <v>45992</v>
      </c>
      <c r="E15" s="47" t="s">
        <v>27</v>
      </c>
      <c r="F15" s="48" t="s">
        <v>28</v>
      </c>
      <c r="G15" s="49" t="s">
        <v>73</v>
      </c>
      <c r="H15" s="45">
        <v>9.4</v>
      </c>
      <c r="I15" s="45" t="s">
        <v>30</v>
      </c>
      <c r="J15" s="50">
        <v>200</v>
      </c>
      <c r="K15" s="50">
        <f t="shared" si="0"/>
        <v>1880</v>
      </c>
      <c r="L15" s="50">
        <v>1880</v>
      </c>
      <c r="M15" s="51" t="s">
        <v>46</v>
      </c>
      <c r="N15" s="51" t="s">
        <v>69</v>
      </c>
      <c r="O15" s="51">
        <v>45660</v>
      </c>
      <c r="P15" s="51">
        <v>45992</v>
      </c>
      <c r="Q15" s="51" t="s">
        <v>74</v>
      </c>
      <c r="R15" s="52"/>
      <c r="S15" s="53"/>
      <c r="T15" s="54"/>
      <c r="U15" s="53" t="s">
        <v>35</v>
      </c>
      <c r="V15" s="45" t="s">
        <v>35</v>
      </c>
      <c r="W15" s="45" t="s">
        <v>36</v>
      </c>
      <c r="X15" s="55" t="s">
        <v>71</v>
      </c>
      <c r="Y15" s="55" t="s">
        <v>38</v>
      </c>
      <c r="Z15" s="44"/>
    </row>
    <row r="16" s="3" customFormat="1" ht="30" customHeight="1" spans="1:26">
      <c r="A16" s="45">
        <v>31</v>
      </c>
      <c r="B16" s="46" t="s">
        <v>25</v>
      </c>
      <c r="C16" s="46" t="s">
        <v>72</v>
      </c>
      <c r="D16" s="47">
        <v>45994</v>
      </c>
      <c r="E16" s="47" t="s">
        <v>27</v>
      </c>
      <c r="F16" s="48" t="s">
        <v>28</v>
      </c>
      <c r="G16" s="49" t="s">
        <v>73</v>
      </c>
      <c r="H16" s="45">
        <v>9.4</v>
      </c>
      <c r="I16" s="45" t="s">
        <v>30</v>
      </c>
      <c r="J16" s="50">
        <v>200</v>
      </c>
      <c r="K16" s="50">
        <f t="shared" si="0"/>
        <v>1880</v>
      </c>
      <c r="L16" s="50">
        <v>1880</v>
      </c>
      <c r="M16" s="51" t="s">
        <v>46</v>
      </c>
      <c r="N16" s="51" t="s">
        <v>69</v>
      </c>
      <c r="O16" s="51">
        <v>45660</v>
      </c>
      <c r="P16" s="51">
        <v>45994</v>
      </c>
      <c r="Q16" s="51" t="s">
        <v>75</v>
      </c>
      <c r="R16" s="52"/>
      <c r="S16" s="53"/>
      <c r="T16" s="54"/>
      <c r="U16" s="53" t="s">
        <v>35</v>
      </c>
      <c r="V16" s="45" t="s">
        <v>35</v>
      </c>
      <c r="W16" s="45" t="s">
        <v>36</v>
      </c>
      <c r="X16" s="55" t="s">
        <v>71</v>
      </c>
      <c r="Y16" s="55" t="s">
        <v>38</v>
      </c>
      <c r="Z16" s="44"/>
    </row>
    <row r="17" s="3" customFormat="1" ht="30" customHeight="1" spans="1:26">
      <c r="A17" s="56"/>
      <c r="B17" s="57"/>
      <c r="C17" s="57"/>
      <c r="D17" s="58"/>
      <c r="E17" s="58"/>
      <c r="F17" s="59"/>
      <c r="G17" s="60"/>
      <c r="H17" s="56"/>
      <c r="I17" s="56"/>
      <c r="J17" s="61"/>
      <c r="K17" s="61"/>
      <c r="L17" s="61"/>
      <c r="M17" s="62"/>
      <c r="N17" s="62"/>
      <c r="O17" s="62"/>
      <c r="P17" s="62"/>
      <c r="Q17" s="62"/>
      <c r="R17" s="63"/>
      <c r="S17" s="64"/>
      <c r="T17" s="65"/>
      <c r="U17" s="64"/>
      <c r="V17" s="56"/>
      <c r="W17" s="56"/>
      <c r="X17" s="66"/>
      <c r="Y17" s="66"/>
      <c r="Z17" s="44"/>
    </row>
    <row r="18" s="3" customFormat="1" ht="30" customHeight="1" spans="1:26">
      <c r="A18" s="56"/>
      <c r="B18" s="57"/>
      <c r="C18" s="57"/>
      <c r="D18" s="58"/>
      <c r="E18" s="58"/>
      <c r="F18" s="59"/>
      <c r="G18" s="60"/>
      <c r="H18" s="56"/>
      <c r="I18" s="56"/>
      <c r="J18" s="61"/>
      <c r="K18" s="61"/>
      <c r="L18" s="61"/>
      <c r="M18" s="62"/>
      <c r="N18" s="62"/>
      <c r="O18" s="62"/>
      <c r="P18" s="62"/>
      <c r="Q18" s="62"/>
      <c r="R18" s="63"/>
      <c r="S18" s="64"/>
      <c r="T18" s="65"/>
      <c r="U18" s="64"/>
      <c r="V18" s="56"/>
      <c r="W18" s="56"/>
      <c r="X18" s="66"/>
      <c r="Y18" s="66"/>
      <c r="Z18" s="44"/>
    </row>
    <row r="19" s="4" customFormat="1" ht="30" customHeight="1" spans="1:26">
      <c r="A19" s="56"/>
      <c r="B19" s="67"/>
      <c r="C19" s="67"/>
      <c r="D19" s="58"/>
      <c r="E19" s="68"/>
      <c r="F19" s="69"/>
      <c r="G19" s="69"/>
      <c r="H19" s="70"/>
      <c r="I19" s="70"/>
      <c r="J19" s="71"/>
      <c r="K19" s="72" t="s">
        <v>76</v>
      </c>
      <c r="L19" s="72">
        <f>SUM(L2:L16)</f>
        <v>437152</v>
      </c>
      <c r="M19" s="73"/>
      <c r="N19" s="73"/>
      <c r="O19" s="73"/>
      <c r="P19" s="73"/>
      <c r="Q19" s="74"/>
      <c r="R19" s="75"/>
      <c r="S19" s="76"/>
      <c r="T19" s="77"/>
      <c r="U19" s="77"/>
      <c r="V19" s="77" t="s">
        <v>77</v>
      </c>
      <c r="W19" s="56"/>
      <c r="X19" s="78"/>
      <c r="Y19" s="78"/>
      <c r="Z19" s="79" t="s">
        <v>78</v>
      </c>
    </row>
    <row r="20" s="4" customFormat="1" ht="30" customHeight="1" spans="1:26">
      <c r="A20" s="70"/>
      <c r="B20" s="67"/>
      <c r="C20" s="67"/>
      <c r="D20" s="68" t="s">
        <v>77</v>
      </c>
      <c r="E20" s="68"/>
      <c r="F20" s="69"/>
      <c r="G20" s="69" t="s">
        <v>77</v>
      </c>
      <c r="H20" s="70"/>
      <c r="I20" s="70"/>
      <c r="J20" s="71"/>
      <c r="K20" s="71"/>
      <c r="L20" s="71"/>
      <c r="M20" s="73"/>
      <c r="N20" s="73"/>
      <c r="O20" s="73"/>
      <c r="P20" s="73"/>
      <c r="Q20" s="74"/>
      <c r="R20" s="75"/>
      <c r="S20" s="76"/>
      <c r="T20" s="77"/>
      <c r="U20" s="77"/>
      <c r="V20" s="77"/>
      <c r="W20" s="70"/>
      <c r="X20" s="80"/>
      <c r="Y20" s="80"/>
      <c r="Z20" s="79"/>
    </row>
    <row r="21" s="4" customFormat="1" ht="30" customHeight="1" spans="1:26">
      <c r="A21" s="70"/>
      <c r="B21" s="81" t="s">
        <v>79</v>
      </c>
      <c r="C21" s="81"/>
      <c r="D21" s="68"/>
      <c r="E21" s="68" t="s">
        <v>77</v>
      </c>
      <c r="F21" s="69"/>
      <c r="G21" s="69"/>
      <c r="H21" s="70"/>
      <c r="I21" s="70"/>
      <c r="J21" s="71"/>
      <c r="K21" s="71"/>
      <c r="L21" s="71"/>
      <c r="M21" s="73"/>
      <c r="N21" s="73"/>
      <c r="O21" s="73"/>
      <c r="P21" s="73"/>
      <c r="Q21" s="74"/>
      <c r="R21" s="75"/>
      <c r="S21" s="76"/>
      <c r="T21" s="77"/>
      <c r="U21" s="77"/>
      <c r="V21" s="77"/>
      <c r="W21" s="70"/>
      <c r="X21" s="80"/>
      <c r="Y21" s="80"/>
      <c r="Z21" s="79"/>
    </row>
    <row r="22" s="4" customFormat="1" ht="30" customHeight="1" spans="1:26">
      <c r="A22" s="70"/>
      <c r="B22" s="67" t="s">
        <v>80</v>
      </c>
      <c r="C22" s="67"/>
      <c r="D22" s="68"/>
      <c r="E22" s="68"/>
      <c r="F22" s="69"/>
      <c r="G22" s="69"/>
      <c r="H22" s="70"/>
      <c r="I22" s="70"/>
      <c r="J22" s="71"/>
      <c r="K22" s="71"/>
      <c r="L22" s="71"/>
      <c r="M22" s="73"/>
      <c r="N22" s="73"/>
      <c r="O22" s="73"/>
      <c r="P22" s="73"/>
      <c r="Q22" s="74"/>
      <c r="R22" s="75"/>
      <c r="S22" s="76"/>
      <c r="T22" s="77"/>
      <c r="U22" s="77"/>
      <c r="V22" s="77"/>
      <c r="W22" s="70"/>
      <c r="X22" s="80"/>
      <c r="Y22" s="80"/>
      <c r="Z22" s="79"/>
    </row>
    <row r="23" s="4" customFormat="1" ht="30" customHeight="1" spans="1:26">
      <c r="A23" s="70"/>
      <c r="B23" s="67" t="s">
        <v>81</v>
      </c>
      <c r="C23" s="67"/>
      <c r="D23" s="68"/>
      <c r="E23" s="68"/>
      <c r="F23" s="69"/>
      <c r="G23" s="69"/>
      <c r="H23" s="70"/>
      <c r="I23" s="70"/>
      <c r="J23" s="71"/>
      <c r="K23" s="71"/>
      <c r="L23" s="71"/>
      <c r="M23" s="73"/>
      <c r="N23" s="73"/>
      <c r="O23" s="73"/>
      <c r="P23" s="73"/>
      <c r="Q23" s="74"/>
      <c r="R23" s="75"/>
      <c r="S23" s="76"/>
      <c r="T23" s="77"/>
      <c r="U23" s="77"/>
      <c r="V23" s="77"/>
      <c r="W23" s="70"/>
      <c r="X23" s="80"/>
      <c r="Y23" s="80"/>
      <c r="Z23" s="79"/>
    </row>
    <row r="24" s="4" customFormat="1" ht="30" customHeight="1" spans="1:26">
      <c r="A24" s="70"/>
      <c r="B24" s="67" t="s">
        <v>82</v>
      </c>
      <c r="C24" s="67"/>
      <c r="D24" s="68"/>
      <c r="E24" s="68"/>
      <c r="F24" s="69"/>
      <c r="G24" s="69"/>
      <c r="H24" s="70"/>
      <c r="I24" s="70"/>
      <c r="J24" s="71"/>
      <c r="K24" s="71"/>
      <c r="L24" s="71"/>
      <c r="M24" s="73"/>
      <c r="N24" s="73"/>
      <c r="O24" s="73"/>
      <c r="P24" s="73"/>
      <c r="Q24" s="74"/>
      <c r="R24" s="75"/>
      <c r="S24" s="76"/>
      <c r="T24" s="77"/>
      <c r="U24" s="77"/>
      <c r="V24" s="77"/>
      <c r="W24" s="70"/>
      <c r="X24" s="80"/>
      <c r="Y24" s="80"/>
      <c r="Z24" s="79"/>
    </row>
    <row r="25" s="4" customFormat="1" ht="30" customHeight="1" spans="1:26">
      <c r="A25" s="70"/>
      <c r="B25" s="67" t="s">
        <v>83</v>
      </c>
      <c r="C25" s="67"/>
      <c r="D25" s="68"/>
      <c r="E25" s="68"/>
      <c r="F25" s="69"/>
      <c r="G25" s="69"/>
      <c r="H25" s="70"/>
      <c r="I25" s="70"/>
      <c r="J25" s="82"/>
      <c r="K25" s="82"/>
      <c r="L25" s="82"/>
      <c r="M25" s="73"/>
      <c r="N25" s="73"/>
      <c r="O25" s="73"/>
      <c r="P25" s="73"/>
      <c r="Q25" s="74"/>
      <c r="R25" s="75"/>
      <c r="S25" s="76"/>
      <c r="T25" s="77"/>
      <c r="U25" s="77"/>
      <c r="V25" s="77"/>
      <c r="W25" s="70"/>
      <c r="X25" s="80"/>
      <c r="Y25" s="80"/>
      <c r="Z25" s="79"/>
    </row>
    <row r="26" s="4" customFormat="1" ht="30" customHeight="1" spans="1:26">
      <c r="A26" s="70"/>
      <c r="B26" s="67" t="s">
        <v>84</v>
      </c>
      <c r="C26" s="67"/>
      <c r="D26" s="68"/>
      <c r="E26" s="68"/>
      <c r="F26" s="69"/>
      <c r="G26" s="69"/>
      <c r="H26" s="70"/>
      <c r="I26" s="70"/>
      <c r="J26" s="82"/>
      <c r="K26" s="82"/>
      <c r="L26" s="82"/>
      <c r="M26" s="73"/>
      <c r="N26" s="73"/>
      <c r="O26" s="73"/>
      <c r="P26" s="73"/>
      <c r="Q26" s="74"/>
      <c r="R26" s="75"/>
      <c r="S26" s="76"/>
      <c r="T26" s="77"/>
      <c r="U26" s="77"/>
      <c r="V26" s="77"/>
      <c r="W26" s="70"/>
      <c r="X26" s="80"/>
      <c r="Y26" s="80"/>
      <c r="Z26" s="79"/>
    </row>
    <row r="30" customHeight="1" spans="1:26">
      <c r="Q30" s="10">
        <v>49</v>
      </c>
    </row>
  </sheetData>
  <autoFilter xmlns:etc="http://www.wps.cn/officeDocument/2017/etCustomData" ref="A1:Y16" etc:filterBottomFollowUsedRange="0">
    <extLst/>
  </autoFilter>
  <pageMargins left="0.748031496062992" right="0.748031496062992" top="0.984251968503937" bottom="0.984251968503937" header="0.511811023622047" footer="0.511811023622047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何来＆后来</cp:lastModifiedBy>
  <dcterms:created xsi:type="dcterms:W3CDTF">2018-12-29T00:55:00Z</dcterms:created>
  <cp:lastPrinted>2023-10-26T05:16:00Z</cp:lastPrinted>
  <dcterms:modified xsi:type="dcterms:W3CDTF">2025-12-26T01:58:22Z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ubyTemplateID" linkTarget="0">
    <vt:lpwstr>9</vt:lpwstr>
  </property>
  <property fmtid="{D5CDD505-2E9C-101B-9397-08002B2CF9AE}" pid="4" name="ICV">
    <vt:lpwstr>A8FEF2216386485DB1A4B5930C5CF82C_12</vt:lpwstr>
  </property>
  <property fmtid="{D5CDD505-2E9C-101B-9397-08002B2CF9AE}" pid="5" name="CalculationRule">
    <vt:i4>0</vt:i4>
  </property>
</Properties>
</file>